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D:\Downloads\"/>
    </mc:Choice>
  </mc:AlternateContent>
  <xr:revisionPtr revIDLastSave="0" documentId="13_ncr:1_{E5282CF1-6FED-4529-B9B3-83F1B19D6BCA}" xr6:coauthVersionLast="47" xr6:coauthVersionMax="47" xr10:uidLastSave="{00000000-0000-0000-0000-000000000000}"/>
  <bookViews>
    <workbookView xWindow="-108" yWindow="-108" windowWidth="23256" windowHeight="12456" firstSheet="9" activeTab="9" xr2:uid="{072D0CE6-A00F-45C5-AD5B-6FF2F24677B3}"/>
  </bookViews>
  <sheets>
    <sheet name="Multicap" sheetId="1" state="hidden" r:id="rId1"/>
    <sheet name="Flexicap" sheetId="2" state="hidden" r:id="rId2"/>
    <sheet name="Largecap" sheetId="3" state="hidden" r:id="rId3"/>
    <sheet name="Midcap" sheetId="4" state="hidden" r:id="rId4"/>
    <sheet name="Smallcap" sheetId="5" state="hidden" r:id="rId5"/>
    <sheet name="MasterData" sheetId="20" state="hidden" r:id="rId6"/>
    <sheet name="HeatMap" sheetId="23" state="hidden" r:id="rId7"/>
    <sheet name="Top 10 Funds" sheetId="22" state="hidden" r:id="rId8"/>
    <sheet name="Average Returns by Category" sheetId="21" state="hidden" r:id="rId9"/>
    <sheet name="Dashboard" sheetId="25" r:id="rId10"/>
  </sheets>
  <definedNames>
    <definedName name="ExternalData_1" localSheetId="5" hidden="1">MasterData!$A$1:$O$155</definedName>
    <definedName name="Slicer_Category1">#N/A</definedName>
  </definedNames>
  <calcPr calcId="191029"/>
  <pivotCaches>
    <pivotCache cacheId="154"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AE661B-7A4C-43E7-8CAB-0C23744BC874}"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6A6B0757-BE11-4953-9D83-4ABD2280B4B9}" keepAlive="1" name="Query - Flexicap" description="Connection to the 'Flexicap' query in the workbook." type="5" refreshedVersion="0" background="1">
    <dbPr connection="Provider=Microsoft.Mashup.OleDb.1;Data Source=$Workbook$;Location=Flexicap;Extended Properties=&quot;&quot;" command="SELECT * FROM [Flexicap]"/>
  </connection>
  <connection id="3" xr16:uid="{E3F0E96A-1318-45A4-9C8E-0EA9F6054902}" keepAlive="1" name="Query - Largecap" description="Connection to the 'Largecap' query in the workbook." type="5" refreshedVersion="0" background="1">
    <dbPr connection="Provider=Microsoft.Mashup.OleDb.1;Data Source=$Workbook$;Location=Largecap;Extended Properties=&quot;&quot;" command="SELECT * FROM [Largecap]"/>
  </connection>
  <connection id="4" xr16:uid="{95F751E8-36C8-4A9D-A07D-8514F77A7B5D}" keepAlive="1" name="Query - Midcap" description="Connection to the 'Midcap' query in the workbook." type="5" refreshedVersion="0" background="1">
    <dbPr connection="Provider=Microsoft.Mashup.OleDb.1;Data Source=$Workbook$;Location=Midcap;Extended Properties=&quot;&quot;" command="SELECT * FROM [Midcap]"/>
  </connection>
  <connection id="5" xr16:uid="{9F8AE8E8-F0EE-4F3F-BF17-418EBD414D22}" keepAlive="1" name="Query - Multicap" description="Connection to the 'Multicap' query in the workbook." type="5" refreshedVersion="0" background="1">
    <dbPr connection="Provider=Microsoft.Mashup.OleDb.1;Data Source=$Workbook$;Location=Multicap;Extended Properties=&quot;&quot;" command="SELECT * FROM [Multicap]"/>
  </connection>
  <connection id="6" xr16:uid="{19F5B579-55C9-47DE-ADBF-0F3F8C22DB65}" keepAlive="1" name="Query - Smallcap" description="Connection to the 'Smallcap' query in the workbook." type="5" refreshedVersion="0" background="1">
    <dbPr connection="Provider=Microsoft.Mashup.OleDb.1;Data Source=$Workbook$;Location=Smallcap;Extended Properties=&quot;&quot;" command="SELECT * FROM [Smallcap]"/>
  </connection>
</connections>
</file>

<file path=xl/sharedStrings.xml><?xml version="1.0" encoding="utf-8"?>
<sst xmlns="http://schemas.openxmlformats.org/spreadsheetml/2006/main" count="750" uniqueCount="184">
  <si>
    <t>Category</t>
  </si>
  <si>
    <t>Scheme Name</t>
  </si>
  <si>
    <t>NAV</t>
  </si>
  <si>
    <t>1 Day</t>
  </si>
  <si>
    <t>1 Week</t>
  </si>
  <si>
    <t>2 Weeks</t>
  </si>
  <si>
    <t>1 Month</t>
  </si>
  <si>
    <t>3 Months</t>
  </si>
  <si>
    <t>6 Months</t>
  </si>
  <si>
    <t>1 Year</t>
  </si>
  <si>
    <t>2 Years</t>
  </si>
  <si>
    <t>3 Years</t>
  </si>
  <si>
    <t>4 years</t>
  </si>
  <si>
    <t>5 Years</t>
  </si>
  <si>
    <t>10 Years</t>
  </si>
  <si>
    <t>Multicap</t>
  </si>
  <si>
    <t>Aditya Birla Sun Life Multi-Cap Fund Direct Growth</t>
  </si>
  <si>
    <t>Axis Multicap Fund Direct Growth</t>
  </si>
  <si>
    <t>Bandhan Multi Cap Fund Direct Growth</t>
  </si>
  <si>
    <t>Bank of India Multi Cap Fund Direct Growth</t>
  </si>
  <si>
    <t>Baroda BNP Paribas Multi Cap Fund Direct Growth Option</t>
  </si>
  <si>
    <t>Canara Robeco Multi Cap Fund Direct Growth</t>
  </si>
  <si>
    <t>DSP Multicap Fund Direct Growth</t>
  </si>
  <si>
    <t>Edelweiss Multi Cap Fund Direct Growth</t>
  </si>
  <si>
    <t>Franklin India Multi Cap Fund Direct Growth</t>
  </si>
  <si>
    <t>HDFC Multi Cap Fund Direct Growth</t>
  </si>
  <si>
    <t>HSBC Multi Cap Fund Direct Growth</t>
  </si>
  <si>
    <t>ICICI Prudential Multicap Fund Direct Plan Growth</t>
  </si>
  <si>
    <t>Invesco India Multicap Fund Direct Plan Growth Option</t>
  </si>
  <si>
    <t>ITI Multi Cap Fund Direct Growth</t>
  </si>
  <si>
    <t>Kotak Multicap Fund Direct Growth</t>
  </si>
  <si>
    <t>LIC MF Multi Cap Fund Direct Growth</t>
  </si>
  <si>
    <t>Mahindra Manulife Multi Cap Fund Direct Plan Growth</t>
  </si>
  <si>
    <t>Mirae Asset Multicap Fund Direct Growth</t>
  </si>
  <si>
    <t>Motilal Oswal Multi Cap Fund Direct Growth</t>
  </si>
  <si>
    <t>Nippon India Multi Cap Fund - Direct Plan - Growth</t>
  </si>
  <si>
    <t>Quant Multi Cap Fund Growth Option Direct Plan</t>
  </si>
  <si>
    <t>SBI Multicap Fund Direct Growth</t>
  </si>
  <si>
    <t>Sundaram Multi Cap Fund-Direct Plan - Option</t>
  </si>
  <si>
    <t>Tata Multicap Fund Direct Growth</t>
  </si>
  <si>
    <t>Union Multicap Fund Direct Growth</t>
  </si>
  <si>
    <t>WhiteOak Capital Multi Cap Fund Direct Growth</t>
  </si>
  <si>
    <t>360 ONE Flexicap Fund Direct Growth</t>
  </si>
  <si>
    <t>Aditya Birla Sun Life Flexi Cap Fund Direct Plan Growth</t>
  </si>
  <si>
    <t>Axis Flexi Cap Fund Direct Growth</t>
  </si>
  <si>
    <t>Bajaj Finserv Flexi Cap Fund Direct Growth</t>
  </si>
  <si>
    <t>Bandhan Flexi Cap Fund-Direct Plan-Growth</t>
  </si>
  <si>
    <t>Bank of India Flexi Cap Fund Direct Growth</t>
  </si>
  <si>
    <t>Baroda BNP Paribas Flexi Cap Fund Direct Growth</t>
  </si>
  <si>
    <t>Canara Robeco Flexi Cap Fund Direct Plan Growth Option</t>
  </si>
  <si>
    <t>DSP Flexi Cap Fund Direct Plan Growth</t>
  </si>
  <si>
    <t>Edelweiss Flexi Cap Fund Direct Growth</t>
  </si>
  <si>
    <t>Franklin India Flexi Cap Fund Direct Growth</t>
  </si>
  <si>
    <t>HDFC Flexi Cap Fund -Direct Plan - Growth Option</t>
  </si>
  <si>
    <t>Helios Flexi Cap Fund Direct Growth</t>
  </si>
  <si>
    <t>HSBC Flexi Cap Fund Growth Direct</t>
  </si>
  <si>
    <t>ICICI Prudential Flexicap Fund Direct Growth</t>
  </si>
  <si>
    <t>Invesco India Flexi Cap Fund Direct Growth</t>
  </si>
  <si>
    <t>ITI Flexi Cap Fund Direct Growth</t>
  </si>
  <si>
    <t>JM Flexicap Fund (Direct) Growth Option</t>
  </si>
  <si>
    <t>Kotak Flexicap Fund Direct Growth</t>
  </si>
  <si>
    <t>LIC MF Flexi Cap Fund Direct Plan Growth Option</t>
  </si>
  <si>
    <t>Mahindra Manulife Flexi Cap Fund Direct Growth</t>
  </si>
  <si>
    <t>Mirae Asset Flexi Cap Fund Direct Growth</t>
  </si>
  <si>
    <t>Motilal Oswal Flexicap Fund Direct Plan Growth</t>
  </si>
  <si>
    <t>Navi Flexi Cap Fund Direct Growth</t>
  </si>
  <si>
    <t>Nippon India Flexi Cap Fund Direct Growth</t>
  </si>
  <si>
    <t>NJ Flexi Cap Fund Direct Growth</t>
  </si>
  <si>
    <t>Parag Parikh Flexi Cap Direct Growth</t>
  </si>
  <si>
    <t>PGIM India Flexi Cap Fund Direct Growth</t>
  </si>
  <si>
    <t>Quant Flexi Cap Fund Growth Option Direct Plan</t>
  </si>
  <si>
    <t>Samco Flexi Cap Fund Direct Growth</t>
  </si>
  <si>
    <t>SBI Flexicap Fund Direct Growth</t>
  </si>
  <si>
    <t>Shriram Flexi Cap Fund Direct Growth</t>
  </si>
  <si>
    <t>Sundaram Flexi Cap Fund Direct Growth</t>
  </si>
  <si>
    <t>Tata Flexi Cap Fund Direct Growth</t>
  </si>
  <si>
    <t>Taurus Flexi Cap Fund - Direct Plan-Growth Option</t>
  </si>
  <si>
    <t>TrustMF Flexi Cap Fund Direct Growth</t>
  </si>
  <si>
    <t>Union Flexi Cap Fund Direct Growth Option</t>
  </si>
  <si>
    <t>UTI Flexi Cap Fund - Growth Option - Direct</t>
  </si>
  <si>
    <t>WhiteOak Capital Flexi Cap Fund Direct Growth</t>
  </si>
  <si>
    <t>Flexicap</t>
  </si>
  <si>
    <t>Aditya Birla Sun Life Large Cap Fund Direct Plan Growth</t>
  </si>
  <si>
    <t>Axis Large Cap Fund Direct Plan Growth</t>
  </si>
  <si>
    <t>Bajaj Finserv Large Cap Fund Direct Growth</t>
  </si>
  <si>
    <t>Bandhan Large Cap Fund Direct Plan Growth</t>
  </si>
  <si>
    <t>Bank of India Large Cap Fund Direct Growth</t>
  </si>
  <si>
    <t>Baroda BNP Paribas Large Cap Fund Direct Plan Growth Option</t>
  </si>
  <si>
    <t>Canara Robeco Large Cap Fund Direct Plan Growth</t>
  </si>
  <si>
    <t>DSP Large Cap Fund Direct Plan Growth</t>
  </si>
  <si>
    <t>Edelweiss Large Cap Fund Direct Plan Growth option</t>
  </si>
  <si>
    <t>Franklin India Large Cap Fund Direct Growth</t>
  </si>
  <si>
    <t>Groww Large Cap Fund Direct Plan Growth Option</t>
  </si>
  <si>
    <t>HDFC Large Cap Fund -Direct Plan - Growth Option</t>
  </si>
  <si>
    <t>HSBC Large Cap Fund - Growth Direct</t>
  </si>
  <si>
    <t>ICICI Prudential Large Cap Fund Direct Plan Growth</t>
  </si>
  <si>
    <t>Invesco India largecap Fund Direct Plan Growth</t>
  </si>
  <si>
    <t>ITI Large Cap Fund Direct Growth</t>
  </si>
  <si>
    <t>JM Large Cap Fund (Direct) - Growth</t>
  </si>
  <si>
    <t>Kotak Large Cap Direct Growth</t>
  </si>
  <si>
    <t>LIC MF Large Cap Fund Direct Plan Growth</t>
  </si>
  <si>
    <t>Mahindra Manulife Large Cap Fund Direct Growth</t>
  </si>
  <si>
    <t>Mirae Asset Large Cap Fund Direct Plan Growth</t>
  </si>
  <si>
    <t>Motilal Oswal Large Cap Fund Direct Growth</t>
  </si>
  <si>
    <t>Nippon India Large Cap Fund - Direct Plan - Growth Plan</t>
  </si>
  <si>
    <t>PGIM India Large Cap Fund Direct Plan Growth</t>
  </si>
  <si>
    <t>Quant Large Cap Fund Direct Growth</t>
  </si>
  <si>
    <t>SBI Large Cap Fund Direct Growth</t>
  </si>
  <si>
    <t>Sundaram Large Cap Fund Dir Gr</t>
  </si>
  <si>
    <t>Tata Large Cap Fund Direct Plan Growth</t>
  </si>
  <si>
    <t>Taurus Largecap Equity Fund - Direct Plan-Growth Option</t>
  </si>
  <si>
    <t>Union Largecap Fund Direct Growth</t>
  </si>
  <si>
    <t>UTI Large cap Fund Growth Option - Direct</t>
  </si>
  <si>
    <t>WhiteOak Capital Large Cap Fund Direct Growth</t>
  </si>
  <si>
    <t>Largecap</t>
  </si>
  <si>
    <t>Aditya Birla Sun Life Mid Cap Fund Direct Plan Growth</t>
  </si>
  <si>
    <t>Axis Midcap Fund Direct Plan Growth</t>
  </si>
  <si>
    <t>Bandhan Midcap Fund Direct Growth</t>
  </si>
  <si>
    <t>Baroda BNP Paribas Mid Cap Fund Direct Plan Growth Option</t>
  </si>
  <si>
    <t>Canara Robeco Mid Cap Fund Direct Growth</t>
  </si>
  <si>
    <t>DSP Midcap Fund Direct Plan Growth</t>
  </si>
  <si>
    <t>Edelweiss Mid Cap Fund Direct Plan Growth Option</t>
  </si>
  <si>
    <t>Franklin India Mid Cap Fund Direct Growth</t>
  </si>
  <si>
    <t>HSBC Midcap Fund Direct Plan Growth</t>
  </si>
  <si>
    <t>ICICI Prudential MidCap Fund Direct Plan Growth</t>
  </si>
  <si>
    <t>Invesco India Mid Cap Fund Direct Plan Growth Option</t>
  </si>
  <si>
    <t>ITI Mid Cap Fund Direct Growth</t>
  </si>
  <si>
    <t>JM Midcap Fund Direct Growth</t>
  </si>
  <si>
    <t>Kotak Midcap Fund Direct Growth</t>
  </si>
  <si>
    <t>LIC MF Midcap Fund Direct Growth</t>
  </si>
  <si>
    <t>Mahindra Manulife Mid Cap Fund Direct Growth</t>
  </si>
  <si>
    <t>Mirae Asset Midcap Fund Direct Growth</t>
  </si>
  <si>
    <t>Motilal Oswal Midcap Direct Growth</t>
  </si>
  <si>
    <t>PGIM India Midcap Fund Direct Growth</t>
  </si>
  <si>
    <t>Quant Mid Cap Fund Growth Option Direct Plan</t>
  </si>
  <si>
    <t>SBI Midcap Fund Direct Growth</t>
  </si>
  <si>
    <t>Tata Mid Cap Fund Direct Plan Growth</t>
  </si>
  <si>
    <t>Union Midcap Fund Direct Growth</t>
  </si>
  <si>
    <t>WhiteOak Capital Mid Cap Fund Direct Growth</t>
  </si>
  <si>
    <t>Midcap</t>
  </si>
  <si>
    <t>Aditya Birla Sun Life Small Cap Fund Direct Plan Growth</t>
  </si>
  <si>
    <t>Axis Small Cap Fund Direct Growth</t>
  </si>
  <si>
    <t>Bandhan Small Cap Fund Direct Growth</t>
  </si>
  <si>
    <t>Bank of India Small Cap Fund Direct Growth</t>
  </si>
  <si>
    <t>Baroda BNP Paribas Small Cap Fund Direct Growth</t>
  </si>
  <si>
    <t>Canara Robeco Small Cap Fund Direct Growth</t>
  </si>
  <si>
    <t>DSP Small Cap Fund Direct Plan Growth</t>
  </si>
  <si>
    <t>Edelweiss Small Cap Fund Direct Growth</t>
  </si>
  <si>
    <t>Franklin India Small Cap Fund Direct Growth</t>
  </si>
  <si>
    <t>HSBC Small Cap Fund Fund Direct Growth</t>
  </si>
  <si>
    <t>ICICI Prudential Smallcap Fund Direct Plan Growth</t>
  </si>
  <si>
    <t>Invesco India Smallcap Fund Direct Growth</t>
  </si>
  <si>
    <t>ITI Small Cap Fund Direct Growth</t>
  </si>
  <si>
    <t>JM Small Cap Fund Direct Growth</t>
  </si>
  <si>
    <t>Kotak Small Cap Direct Growth</t>
  </si>
  <si>
    <t>LIC MF Small Cap Fund Direct Growth</t>
  </si>
  <si>
    <t>Mahindra Manulife Small Cap Fund Direct Growth</t>
  </si>
  <si>
    <t>Motilal Oswal Small Cap Fund Direct Growth</t>
  </si>
  <si>
    <t>PGIM India Small Cap Fund Direct Growth</t>
  </si>
  <si>
    <t>Quant Small Cap Fund Growth Option Direct Plan</t>
  </si>
  <si>
    <t>Quantum Small Cap Fund Direct Growth</t>
  </si>
  <si>
    <t>SBI Small Cap Fund Direct Plan Growth</t>
  </si>
  <si>
    <t>Tata Small Cap Fund Direct Growth</t>
  </si>
  <si>
    <t>Union Small Cap Fund Direct Growth</t>
  </si>
  <si>
    <t>UTI Small Cap Fund Direct Growth</t>
  </si>
  <si>
    <t>Smallcap</t>
  </si>
  <si>
    <t>Row Labels</t>
  </si>
  <si>
    <t>Grand Total</t>
  </si>
  <si>
    <t>Average of 1 Year</t>
  </si>
  <si>
    <t>Average of 3 Years</t>
  </si>
  <si>
    <t>Average of 5 Years</t>
  </si>
  <si>
    <t>HDFC Mid Cap Fund 0Direct Plan 0 Growth Option</t>
  </si>
  <si>
    <t>Nippon India Growth Mid Cap Fund 0 Direct Plan 0 Growth Mid Cap</t>
  </si>
  <si>
    <t>Sundaram Mid Cap 0 Direct Plan 0 Growth Option</t>
  </si>
  <si>
    <t>Taurus Discovery (Midcap) Fund 0 Direct Plan0Growth Option</t>
  </si>
  <si>
    <t>UTI Mid Cap Fund0Growth Option0 Direct</t>
  </si>
  <si>
    <t>HDFC Small Cap Fund0Direct Growth Option</t>
  </si>
  <si>
    <t>Nippon India Small Cap Fund 0 Direct Plan 0 Growth Plan</t>
  </si>
  <si>
    <t>Sundaram Small Cap Fund 0 Direct Plan 0 Growth Option</t>
  </si>
  <si>
    <t>Average of 10 Years</t>
  </si>
  <si>
    <t>Average of 1 Month</t>
  </si>
  <si>
    <t>Average of 6 Months</t>
  </si>
  <si>
    <t>(All)</t>
  </si>
  <si>
    <t>Average of 1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</si>
</sst>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0.00;\-#,##0.00;\-"/>
    <numFmt numFmtId="166" formatCode="0.0"/>
  </numFmts>
  <fonts count="11" x14ac:knownFonts="1">
    <font>
      <sz val="11"/>
      <color theme="1"/>
      <name val="Aptos Narrow"/>
      <family val="2"/>
      <scheme val="minor"/>
    </font>
    <font>
      <sz val="11"/>
      <color theme="1"/>
      <name val="Aptos Narrow"/>
      <family val="2"/>
      <scheme val="minor"/>
    </font>
    <font>
      <sz val="10"/>
      <name val="Arial"/>
      <family val="2"/>
    </font>
    <font>
      <b/>
      <sz val="10"/>
      <color theme="0"/>
      <name val="Bahnschrift"/>
      <family val="2"/>
    </font>
    <font>
      <b/>
      <sz val="10"/>
      <color rgb="FFFFFFFF"/>
      <name val="Bahnschrift"/>
      <family val="2"/>
    </font>
    <font>
      <sz val="11"/>
      <color rgb="FF000000"/>
      <name val="Calibri"/>
      <family val="2"/>
    </font>
    <font>
      <sz val="11"/>
      <name val="Aptos Narrow"/>
      <family val="2"/>
      <scheme val="minor"/>
    </font>
    <font>
      <b/>
      <i/>
      <sz val="11"/>
      <color theme="4"/>
      <name val="Aptos Narrow"/>
      <family val="2"/>
      <scheme val="minor"/>
    </font>
    <font>
      <sz val="11"/>
      <name val="Calibri"/>
      <family val="2"/>
    </font>
    <font>
      <b/>
      <i/>
      <sz val="11"/>
      <color rgb="FF4472C4"/>
      <name val="Calibri"/>
      <family val="2"/>
    </font>
    <font>
      <sz val="8"/>
      <name val="Aptos Narrow"/>
      <family val="2"/>
      <scheme val="minor"/>
    </font>
  </fonts>
  <fills count="6">
    <fill>
      <patternFill patternType="none"/>
    </fill>
    <fill>
      <patternFill patternType="gray125"/>
    </fill>
    <fill>
      <patternFill patternType="solid">
        <fgColor rgb="FF1F497D"/>
        <bgColor indexed="64"/>
      </patternFill>
    </fill>
    <fill>
      <patternFill patternType="solid">
        <fgColor rgb="FF44546A"/>
        <bgColor rgb="FF000000"/>
      </patternFill>
    </fill>
    <fill>
      <patternFill patternType="solid">
        <fgColor rgb="FF1F497D"/>
        <bgColor rgb="FF000000"/>
      </patternFill>
    </fill>
    <fill>
      <patternFill patternType="solid">
        <fgColor rgb="FFEDEDED"/>
        <bgColor rgb="FFEDEDED"/>
      </patternFill>
    </fill>
  </fills>
  <borders count="63">
    <border>
      <left/>
      <right/>
      <top/>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style="thin">
        <color auto="1"/>
      </top>
      <bottom style="thin">
        <color theme="0" tint="-0.14993743705557422"/>
      </bottom>
      <diagonal/>
    </border>
    <border>
      <left style="medium">
        <color auto="1"/>
      </left>
      <right style="medium">
        <color auto="1"/>
      </right>
      <top style="thin">
        <color auto="1"/>
      </top>
      <bottom style="thin">
        <color theme="0" tint="-0.14993743705557422"/>
      </bottom>
      <diagonal/>
    </border>
    <border>
      <left/>
      <right style="thin">
        <color theme="0" tint="-0.14993743705557422"/>
      </right>
      <top style="thin">
        <color auto="1"/>
      </top>
      <bottom style="thin">
        <color theme="0" tint="-0.14993743705557422"/>
      </bottom>
      <diagonal/>
    </border>
    <border>
      <left style="thin">
        <color theme="0" tint="-0.14993743705557422"/>
      </left>
      <right style="thin">
        <color theme="0" tint="-0.14993743705557422"/>
      </right>
      <top style="thin">
        <color auto="1"/>
      </top>
      <bottom style="thin">
        <color theme="0" tint="-0.14993743705557422"/>
      </bottom>
      <diagonal/>
    </border>
    <border>
      <left style="medium">
        <color auto="1"/>
      </left>
      <right style="thin">
        <color theme="0" tint="-0.14993743705557422"/>
      </right>
      <top/>
      <bottom style="thin">
        <color theme="0" tint="-0.14993743705557422"/>
      </bottom>
      <diagonal/>
    </border>
    <border>
      <left style="thin">
        <color theme="0" tint="-0.14993743705557422"/>
      </left>
      <right style="thin">
        <color theme="0" tint="-0.14993743705557422"/>
      </right>
      <top/>
      <bottom style="thin">
        <color theme="0" tint="-0.14993743705557422"/>
      </bottom>
      <diagonal/>
    </border>
    <border>
      <left style="thin">
        <color theme="0" tint="-0.14993743705557422"/>
      </left>
      <right/>
      <top/>
      <bottom style="thin">
        <color theme="0" tint="-0.14993743705557422"/>
      </bottom>
      <diagonal/>
    </border>
    <border>
      <left style="medium">
        <color auto="1"/>
      </left>
      <right/>
      <top style="thin">
        <color theme="0" tint="-0.14993743705557422"/>
      </top>
      <bottom style="thin">
        <color theme="0" tint="-0.14993743705557422"/>
      </bottom>
      <diagonal/>
    </border>
    <border>
      <left style="medium">
        <color auto="1"/>
      </left>
      <right style="medium">
        <color auto="1"/>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style="medium">
        <color auto="1"/>
      </left>
      <right style="thin">
        <color theme="0" tint="-0.14993743705557422"/>
      </right>
      <top style="thin">
        <color theme="0" tint="-0.14993743705557422"/>
      </top>
      <bottom style="thin">
        <color theme="0" tint="-0.14993743705557422"/>
      </bottom>
      <diagonal/>
    </border>
    <border>
      <left style="medium">
        <color auto="1"/>
      </left>
      <right/>
      <top style="thin">
        <color theme="0" tint="-0.14993743705557422"/>
      </top>
      <bottom/>
      <diagonal/>
    </border>
    <border>
      <left style="medium">
        <color auto="1"/>
      </left>
      <right style="medium">
        <color auto="1"/>
      </right>
      <top style="thin">
        <color theme="0" tint="-0.14993743705557422"/>
      </top>
      <bottom/>
      <diagonal/>
    </border>
    <border>
      <left/>
      <right style="thin">
        <color theme="0" tint="-0.14993743705557422"/>
      </right>
      <top style="thin">
        <color theme="0" tint="-0.14993743705557422"/>
      </top>
      <bottom/>
      <diagonal/>
    </border>
    <border>
      <left style="thin">
        <color theme="0" tint="-0.14993743705557422"/>
      </left>
      <right style="thin">
        <color theme="0" tint="-0.14993743705557422"/>
      </right>
      <top style="thin">
        <color theme="0" tint="-0.14993743705557422"/>
      </top>
      <bottom/>
      <diagonal/>
    </border>
    <border>
      <left style="thin">
        <color theme="0" tint="-0.14993743705557422"/>
      </left>
      <right/>
      <top style="thin">
        <color theme="0" tint="-0.14993743705557422"/>
      </top>
      <bottom/>
      <diagonal/>
    </border>
    <border>
      <left style="medium">
        <color auto="1"/>
      </left>
      <right style="thin">
        <color theme="0" tint="-0.14993743705557422"/>
      </right>
      <top style="thin">
        <color theme="0" tint="-0.14993743705557422"/>
      </top>
      <bottom/>
      <diagonal/>
    </border>
    <border>
      <left/>
      <right style="medium">
        <color auto="1"/>
      </right>
      <top style="medium">
        <color auto="1"/>
      </top>
      <bottom style="medium">
        <color auto="1"/>
      </bottom>
      <diagonal/>
    </border>
    <border>
      <left style="thin">
        <color rgb="FFC9C9C9"/>
      </left>
      <right/>
      <top style="medium">
        <color auto="1"/>
      </top>
      <bottom style="thin">
        <color rgb="FFC9C9C9"/>
      </bottom>
      <diagonal/>
    </border>
    <border>
      <left/>
      <right/>
      <top style="thin">
        <color rgb="FFC9C9C9"/>
      </top>
      <bottom style="thin">
        <color auto="1"/>
      </bottom>
      <diagonal/>
    </border>
    <border>
      <left style="medium">
        <color auto="1"/>
      </left>
      <right/>
      <top style="thin">
        <color rgb="FFC9C9C9"/>
      </top>
      <bottom style="thin">
        <color rgb="FFC9C9C9"/>
      </bottom>
      <diagonal/>
    </border>
    <border>
      <left style="medium">
        <color auto="1"/>
      </left>
      <right/>
      <top style="thin">
        <color auto="1"/>
      </top>
      <bottom style="thin">
        <color rgb="FFD9D9D9"/>
      </bottom>
      <diagonal/>
    </border>
    <border>
      <left style="medium">
        <color auto="1"/>
      </left>
      <right style="medium">
        <color auto="1"/>
      </right>
      <top style="thin">
        <color auto="1"/>
      </top>
      <bottom style="thin">
        <color rgb="FFD9D9D9"/>
      </bottom>
      <diagonal/>
    </border>
    <border>
      <left/>
      <right style="thin">
        <color rgb="FFD9D9D9"/>
      </right>
      <top style="thin">
        <color auto="1"/>
      </top>
      <bottom style="thin">
        <color rgb="FFD9D9D9"/>
      </bottom>
      <diagonal/>
    </border>
    <border>
      <left style="thin">
        <color rgb="FFD9D9D9"/>
      </left>
      <right style="thin">
        <color rgb="FFD9D9D9"/>
      </right>
      <top style="thin">
        <color auto="1"/>
      </top>
      <bottom style="thin">
        <color rgb="FFD9D9D9"/>
      </bottom>
      <diagonal/>
    </border>
    <border>
      <left style="thin">
        <color rgb="FFD9D9D9"/>
      </left>
      <right/>
      <top style="thin">
        <color auto="1"/>
      </top>
      <bottom style="thin">
        <color rgb="FFD9D9D9"/>
      </bottom>
      <diagonal/>
    </border>
    <border>
      <left style="medium">
        <color auto="1"/>
      </left>
      <right style="thin">
        <color rgb="FFD9D9D9"/>
      </right>
      <top style="thin">
        <color rgb="FFC9C9C9"/>
      </top>
      <bottom style="thin">
        <color rgb="FFD9D9D9"/>
      </bottom>
      <diagonal/>
    </border>
    <border>
      <left style="thin">
        <color rgb="FFD9D9D9"/>
      </left>
      <right style="thin">
        <color rgb="FFD9D9D9"/>
      </right>
      <top style="thin">
        <color rgb="FFC9C9C9"/>
      </top>
      <bottom style="thin">
        <color rgb="FFD9D9D9"/>
      </bottom>
      <diagonal/>
    </border>
    <border>
      <left style="thin">
        <color rgb="FFD9D9D9"/>
      </left>
      <right style="medium">
        <color auto="1"/>
      </right>
      <top style="thin">
        <color rgb="FFC9C9C9"/>
      </top>
      <bottom style="thin">
        <color rgb="FFD9D9D9"/>
      </bottom>
      <diagonal/>
    </border>
    <border>
      <left style="medium">
        <color auto="1"/>
      </left>
      <right/>
      <top style="thin">
        <color rgb="FFD9D9D9"/>
      </top>
      <bottom style="thin">
        <color rgb="FFD9D9D9"/>
      </bottom>
      <diagonal/>
    </border>
    <border>
      <left style="medium">
        <color auto="1"/>
      </left>
      <right style="medium">
        <color auto="1"/>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style="medium">
        <color auto="1"/>
      </left>
      <right style="thin">
        <color rgb="FFD9D9D9"/>
      </right>
      <top style="thin">
        <color rgb="FFD9D9D9"/>
      </top>
      <bottom style="thin">
        <color rgb="FFD9D9D9"/>
      </bottom>
      <diagonal/>
    </border>
    <border>
      <left style="thin">
        <color rgb="FFD9D9D9"/>
      </left>
      <right style="medium">
        <color auto="1"/>
      </right>
      <top style="thin">
        <color rgb="FFD9D9D9"/>
      </top>
      <bottom style="thin">
        <color rgb="FFD9D9D9"/>
      </bottom>
      <diagonal/>
    </border>
    <border>
      <left style="medium">
        <color auto="1"/>
      </left>
      <right/>
      <top style="thin">
        <color rgb="FFD9D9D9"/>
      </top>
      <bottom style="thin">
        <color rgb="FFC9C9C9"/>
      </bottom>
      <diagonal/>
    </border>
    <border>
      <left style="medium">
        <color auto="1"/>
      </left>
      <right style="medium">
        <color auto="1"/>
      </right>
      <top style="thin">
        <color rgb="FFD9D9D9"/>
      </top>
      <bottom style="thin">
        <color rgb="FFC9C9C9"/>
      </bottom>
      <diagonal/>
    </border>
    <border>
      <left/>
      <right style="thin">
        <color rgb="FFD9D9D9"/>
      </right>
      <top style="thin">
        <color rgb="FFD9D9D9"/>
      </top>
      <bottom style="thin">
        <color rgb="FFC9C9C9"/>
      </bottom>
      <diagonal/>
    </border>
    <border>
      <left style="thin">
        <color rgb="FFD9D9D9"/>
      </left>
      <right style="thin">
        <color rgb="FFD9D9D9"/>
      </right>
      <top style="thin">
        <color rgb="FFD9D9D9"/>
      </top>
      <bottom style="thin">
        <color rgb="FFC9C9C9"/>
      </bottom>
      <diagonal/>
    </border>
    <border>
      <left style="thin">
        <color rgb="FFD9D9D9"/>
      </left>
      <right/>
      <top style="thin">
        <color rgb="FFD9D9D9"/>
      </top>
      <bottom style="thin">
        <color rgb="FFC9C9C9"/>
      </bottom>
      <diagonal/>
    </border>
    <border>
      <left style="medium">
        <color auto="1"/>
      </left>
      <right style="thin">
        <color rgb="FFD9D9D9"/>
      </right>
      <top style="thin">
        <color rgb="FFD9D9D9"/>
      </top>
      <bottom style="thin">
        <color rgb="FFC9C9C9"/>
      </bottom>
      <diagonal/>
    </border>
    <border>
      <left style="thin">
        <color rgb="FFD9D9D9"/>
      </left>
      <right style="medium">
        <color auto="1"/>
      </right>
      <top style="thin">
        <color rgb="FFD9D9D9"/>
      </top>
      <bottom style="thin">
        <color rgb="FFC9C9C9"/>
      </bottom>
      <diagonal/>
    </border>
    <border>
      <left style="medium">
        <color auto="1"/>
      </left>
      <right style="thin">
        <color theme="0" tint="-0.14993743705557422"/>
      </right>
      <top style="thin">
        <color auto="1"/>
      </top>
      <bottom style="thin">
        <color theme="0" tint="-0.14993743705557422"/>
      </bottom>
      <diagonal/>
    </border>
    <border>
      <left style="medium">
        <color auto="1"/>
      </left>
      <right style="thin">
        <color rgb="FFD9D9D9"/>
      </right>
      <top style="thin">
        <color auto="1"/>
      </top>
      <bottom style="thin">
        <color rgb="FFD9D9D9"/>
      </bottom>
      <diagonal/>
    </border>
    <border>
      <left style="thin">
        <color rgb="FFD9D9D9"/>
      </left>
      <right style="medium">
        <color auto="1"/>
      </right>
      <top style="thin">
        <color auto="1"/>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style="thin">
        <color rgb="FFC9C9C9"/>
      </left>
      <right/>
      <top/>
      <bottom style="thin">
        <color rgb="FFC9C9C9"/>
      </bottom>
      <diagonal/>
    </border>
    <border>
      <left style="medium">
        <color auto="1"/>
      </left>
      <right style="medium">
        <color auto="1"/>
      </right>
      <top/>
      <bottom style="thin">
        <color auto="1"/>
      </bottom>
      <diagonal/>
    </border>
    <border>
      <left style="medium">
        <color auto="1"/>
      </left>
      <right/>
      <top/>
      <bottom style="thin">
        <color auto="1"/>
      </bottom>
      <diagonal/>
    </border>
    <border>
      <left/>
      <right style="medium">
        <color auto="1"/>
      </right>
      <top/>
      <bottom style="thin">
        <color auto="1"/>
      </bottom>
      <diagonal/>
    </border>
    <border>
      <left/>
      <right/>
      <top/>
      <bottom style="medium">
        <color auto="1"/>
      </bottom>
      <diagonal/>
    </border>
    <border>
      <left style="medium">
        <color auto="1"/>
      </left>
      <right/>
      <top/>
      <bottom style="medium">
        <color auto="1"/>
      </bottom>
      <diagonal/>
    </border>
  </borders>
  <cellStyleXfs count="4">
    <xf numFmtId="0" fontId="0" fillId="0" borderId="0"/>
    <xf numFmtId="43" fontId="1" fillId="0" borderId="0" applyFont="0" applyFill="0" applyBorder="0" applyAlignment="0" applyProtection="0"/>
    <xf numFmtId="0" fontId="2" fillId="0" borderId="0"/>
    <xf numFmtId="0" fontId="1" fillId="0" borderId="0"/>
  </cellStyleXfs>
  <cellXfs count="143">
    <xf numFmtId="0" fontId="0" fillId="0" borderId="0" xfId="0"/>
    <xf numFmtId="0" fontId="4" fillId="3" borderId="26" xfId="2" quotePrefix="1" applyFont="1" applyFill="1" applyBorder="1" applyAlignment="1">
      <alignment horizontal="center" vertical="center" wrapText="1"/>
    </xf>
    <xf numFmtId="2" fontId="4" fillId="4" borderId="1" xfId="2" applyNumberFormat="1" applyFont="1" applyFill="1" applyBorder="1" applyAlignment="1">
      <alignment horizontal="center" vertical="center" wrapText="1"/>
    </xf>
    <xf numFmtId="4" fontId="4" fillId="4" borderId="2" xfId="2" applyNumberFormat="1" applyFont="1" applyFill="1" applyBorder="1" applyAlignment="1">
      <alignment horizontal="center" vertical="center" wrapText="1"/>
    </xf>
    <xf numFmtId="164" fontId="4" fillId="4" borderId="27" xfId="2" applyNumberFormat="1" applyFont="1" applyFill="1" applyBorder="1" applyAlignment="1">
      <alignment horizontal="center" vertical="center" wrapText="1"/>
    </xf>
    <xf numFmtId="164" fontId="4" fillId="4" borderId="4" xfId="2" applyNumberFormat="1" applyFont="1" applyFill="1" applyBorder="1" applyAlignment="1">
      <alignment horizontal="center" vertical="center" wrapText="1"/>
    </xf>
    <xf numFmtId="164" fontId="4" fillId="4" borderId="5" xfId="2" applyNumberFormat="1" applyFont="1" applyFill="1" applyBorder="1" applyAlignment="1">
      <alignment horizontal="center" vertical="center" wrapText="1"/>
    </xf>
    <xf numFmtId="164" fontId="4" fillId="4" borderId="25" xfId="2" applyNumberFormat="1" applyFont="1" applyFill="1" applyBorder="1" applyAlignment="1">
      <alignment horizontal="center" vertical="center" wrapText="1"/>
    </xf>
    <xf numFmtId="49" fontId="5" fillId="5" borderId="28" xfId="3" quotePrefix="1" applyNumberFormat="1" applyFont="1" applyFill="1" applyBorder="1" applyAlignment="1">
      <alignment vertical="center"/>
    </xf>
    <xf numFmtId="0" fontId="5" fillId="5" borderId="29" xfId="3" applyFont="1" applyFill="1" applyBorder="1" applyAlignment="1">
      <alignment vertical="center"/>
    </xf>
    <xf numFmtId="49" fontId="5" fillId="0" borderId="28" xfId="3" quotePrefix="1" applyNumberFormat="1" applyFont="1" applyBorder="1" applyAlignment="1">
      <alignment vertical="center"/>
    </xf>
    <xf numFmtId="0" fontId="5" fillId="0" borderId="37" xfId="3" applyFont="1" applyBorder="1" applyAlignment="1">
      <alignment vertical="center"/>
    </xf>
    <xf numFmtId="0" fontId="5" fillId="5" borderId="37" xfId="3" applyFont="1" applyFill="1" applyBorder="1" applyAlignment="1">
      <alignment vertical="center"/>
    </xf>
    <xf numFmtId="0" fontId="5" fillId="5" borderId="44" xfId="3" applyFont="1" applyFill="1" applyBorder="1" applyAlignment="1">
      <alignment vertical="center"/>
    </xf>
    <xf numFmtId="0" fontId="5" fillId="0" borderId="44" xfId="3" applyFont="1" applyBorder="1" applyAlignment="1">
      <alignment vertical="center"/>
    </xf>
    <xf numFmtId="2" fontId="3" fillId="2" borderId="2" xfId="2" applyNumberFormat="1" applyFont="1" applyFill="1" applyBorder="1" applyAlignment="1">
      <alignment horizontal="center" vertical="center" wrapText="1"/>
    </xf>
    <xf numFmtId="4" fontId="3" fillId="2" borderId="1" xfId="2" applyNumberFormat="1" applyFont="1" applyFill="1" applyBorder="1" applyAlignment="1">
      <alignment horizontal="center" vertical="center" wrapText="1"/>
    </xf>
    <xf numFmtId="0" fontId="1" fillId="0" borderId="7" xfId="3" applyBorder="1" applyAlignment="1">
      <alignment vertical="center"/>
    </xf>
    <xf numFmtId="164" fontId="1" fillId="0" borderId="51" xfId="1" applyNumberFormat="1" applyFont="1" applyBorder="1" applyAlignment="1">
      <alignment horizontal="center" vertical="center"/>
    </xf>
    <xf numFmtId="164" fontId="1" fillId="0" borderId="9" xfId="1" applyNumberFormat="1" applyFont="1" applyBorder="1" applyAlignment="1">
      <alignment horizontal="center" vertical="center"/>
    </xf>
    <xf numFmtId="0" fontId="1" fillId="0" borderId="14" xfId="3" applyBorder="1" applyAlignment="1">
      <alignment vertical="center"/>
    </xf>
    <xf numFmtId="164" fontId="1" fillId="0" borderId="18" xfId="1" applyNumberFormat="1" applyFont="1" applyBorder="1" applyAlignment="1">
      <alignment horizontal="center" vertical="center"/>
    </xf>
    <xf numFmtId="164" fontId="1" fillId="0" borderId="16" xfId="1" applyNumberFormat="1" applyFont="1" applyBorder="1" applyAlignment="1">
      <alignment horizontal="center" vertical="center"/>
    </xf>
    <xf numFmtId="164" fontId="1" fillId="0" borderId="15" xfId="1" applyNumberFormat="1" applyFont="1" applyBorder="1" applyAlignment="1">
      <alignment horizontal="center" vertical="center"/>
    </xf>
    <xf numFmtId="0" fontId="6" fillId="0" borderId="14" xfId="3" applyFont="1" applyBorder="1" applyAlignment="1">
      <alignment vertical="center"/>
    </xf>
    <xf numFmtId="164" fontId="6" fillId="0" borderId="18" xfId="1" applyNumberFormat="1" applyFont="1" applyBorder="1" applyAlignment="1">
      <alignment horizontal="center" vertical="center"/>
    </xf>
    <xf numFmtId="164" fontId="6" fillId="0" borderId="16" xfId="1" applyNumberFormat="1" applyFont="1" applyBorder="1" applyAlignment="1">
      <alignment horizontal="center" vertical="center"/>
    </xf>
    <xf numFmtId="164" fontId="6" fillId="0" borderId="15" xfId="1" applyNumberFormat="1" applyFont="1" applyBorder="1" applyAlignment="1">
      <alignment horizontal="center" vertical="center"/>
    </xf>
    <xf numFmtId="0" fontId="7" fillId="0" borderId="14" xfId="3" applyFont="1" applyBorder="1" applyAlignment="1">
      <alignment vertical="center"/>
    </xf>
    <xf numFmtId="0" fontId="5" fillId="0" borderId="30" xfId="3" applyFont="1" applyBorder="1" applyAlignment="1">
      <alignment vertical="center"/>
    </xf>
    <xf numFmtId="0" fontId="5" fillId="0" borderId="38" xfId="3" applyFont="1" applyBorder="1" applyAlignment="1">
      <alignment vertical="center"/>
    </xf>
    <xf numFmtId="0" fontId="8" fillId="0" borderId="38" xfId="3" applyFont="1" applyBorder="1" applyAlignment="1">
      <alignment vertical="center"/>
    </xf>
    <xf numFmtId="0" fontId="9" fillId="0" borderId="38" xfId="3" applyFont="1" applyBorder="1" applyAlignment="1">
      <alignment vertical="center"/>
    </xf>
    <xf numFmtId="0" fontId="4" fillId="3" borderId="57" xfId="2" quotePrefix="1" applyFont="1" applyFill="1" applyBorder="1" applyAlignment="1">
      <alignment horizontal="center" vertical="center" wrapText="1"/>
    </xf>
    <xf numFmtId="2" fontId="4" fillId="4" borderId="58" xfId="2" applyNumberFormat="1" applyFont="1" applyFill="1" applyBorder="1" applyAlignment="1">
      <alignment horizontal="center" vertical="center" wrapText="1"/>
    </xf>
    <xf numFmtId="4" fontId="4" fillId="4" borderId="59" xfId="2" applyNumberFormat="1" applyFont="1" applyFill="1" applyBorder="1" applyAlignment="1">
      <alignment horizontal="center" vertical="center" wrapText="1"/>
    </xf>
    <xf numFmtId="164" fontId="4" fillId="4" borderId="59" xfId="2" applyNumberFormat="1" applyFont="1" applyFill="1" applyBorder="1" applyAlignment="1">
      <alignment horizontal="center" vertical="center" wrapText="1"/>
    </xf>
    <xf numFmtId="164" fontId="4" fillId="4" borderId="3" xfId="2" applyNumberFormat="1" applyFont="1" applyFill="1" applyBorder="1" applyAlignment="1">
      <alignment horizontal="center" vertical="center" wrapText="1"/>
    </xf>
    <xf numFmtId="164" fontId="4" fillId="4" borderId="60" xfId="2" applyNumberFormat="1" applyFont="1" applyFill="1" applyBorder="1" applyAlignment="1">
      <alignment horizontal="center" vertical="center" wrapText="1"/>
    </xf>
    <xf numFmtId="164" fontId="4" fillId="4" borderId="61" xfId="2" applyNumberFormat="1" applyFont="1" applyFill="1" applyBorder="1" applyAlignment="1">
      <alignment horizontal="center" vertical="center" wrapText="1"/>
    </xf>
    <xf numFmtId="4" fontId="1" fillId="0" borderId="6" xfId="3" applyNumberFormat="1" applyBorder="1" applyAlignment="1">
      <alignment horizontal="center" vertical="center"/>
    </xf>
    <xf numFmtId="4" fontId="1" fillId="0" borderId="13" xfId="3" applyNumberFormat="1" applyBorder="1" applyAlignment="1">
      <alignment horizontal="center" vertical="center"/>
    </xf>
    <xf numFmtId="4" fontId="7" fillId="0" borderId="13" xfId="3" applyNumberFormat="1" applyFont="1" applyBorder="1" applyAlignment="1">
      <alignment horizontal="center" vertical="center"/>
    </xf>
    <xf numFmtId="4" fontId="6" fillId="0" borderId="13" xfId="3" applyNumberFormat="1" applyFont="1" applyBorder="1" applyAlignment="1">
      <alignment horizontal="center" vertical="center"/>
    </xf>
    <xf numFmtId="2" fontId="3" fillId="2" borderId="58" xfId="2" applyNumberFormat="1" applyFont="1" applyFill="1" applyBorder="1" applyAlignment="1">
      <alignment horizontal="center" vertical="center" wrapText="1"/>
    </xf>
    <xf numFmtId="4" fontId="3" fillId="2" borderId="59" xfId="2" applyNumberFormat="1" applyFont="1" applyFill="1" applyBorder="1" applyAlignment="1">
      <alignment horizontal="center" vertical="center" wrapText="1"/>
    </xf>
    <xf numFmtId="164" fontId="3" fillId="2" borderId="59" xfId="1" applyNumberFormat="1" applyFont="1" applyFill="1" applyBorder="1" applyAlignment="1">
      <alignment horizontal="center" vertical="center" wrapText="1"/>
    </xf>
    <xf numFmtId="164" fontId="3" fillId="2" borderId="3" xfId="1" applyNumberFormat="1" applyFont="1" applyFill="1" applyBorder="1" applyAlignment="1">
      <alignment horizontal="center" vertical="center" wrapText="1"/>
    </xf>
    <xf numFmtId="164" fontId="3" fillId="2" borderId="60" xfId="1" applyNumberFormat="1" applyFont="1" applyFill="1" applyBorder="1" applyAlignment="1">
      <alignment horizontal="center" vertical="center" wrapText="1"/>
    </xf>
    <xf numFmtId="164" fontId="3" fillId="2" borderId="62" xfId="1" applyNumberFormat="1" applyFont="1" applyFill="1" applyBorder="1" applyAlignment="1">
      <alignment horizontal="center" vertical="center" wrapText="1"/>
    </xf>
    <xf numFmtId="164" fontId="3" fillId="2" borderId="61" xfId="1" applyNumberFormat="1" applyFont="1" applyFill="1" applyBorder="1" applyAlignment="1">
      <alignment horizontal="center" vertical="center" wrapText="1"/>
    </xf>
    <xf numFmtId="164" fontId="1" fillId="0" borderId="8" xfId="1" applyNumberFormat="1" applyFont="1" applyBorder="1" applyAlignment="1">
      <alignment horizontal="center" vertical="center"/>
    </xf>
    <xf numFmtId="0" fontId="1" fillId="0" borderId="20" xfId="3" applyBorder="1" applyAlignment="1">
      <alignment vertical="center"/>
    </xf>
    <xf numFmtId="4" fontId="1" fillId="0" borderId="19" xfId="3" applyNumberFormat="1" applyBorder="1" applyAlignment="1">
      <alignment horizontal="center" vertical="center"/>
    </xf>
    <xf numFmtId="0" fontId="0" fillId="0" borderId="0" xfId="0" pivotButton="1"/>
    <xf numFmtId="0" fontId="0" fillId="0" borderId="0" xfId="0" applyAlignment="1">
      <alignment horizontal="left"/>
    </xf>
    <xf numFmtId="2" fontId="1" fillId="0" borderId="10" xfId="1" applyNumberFormat="1" applyFont="1" applyBorder="1" applyAlignment="1">
      <alignment horizontal="center" vertical="center"/>
    </xf>
    <xf numFmtId="2" fontId="1" fillId="0" borderId="11" xfId="1" applyNumberFormat="1" applyFont="1" applyBorder="1" applyAlignment="1">
      <alignment horizontal="center" vertical="center"/>
    </xf>
    <xf numFmtId="2" fontId="1" fillId="0" borderId="12" xfId="1" applyNumberFormat="1" applyFont="1" applyBorder="1" applyAlignment="1">
      <alignment horizontal="center" vertical="center"/>
    </xf>
    <xf numFmtId="2" fontId="1" fillId="0" borderId="18" xfId="1" applyNumberFormat="1" applyFont="1" applyBorder="1" applyAlignment="1">
      <alignment horizontal="center" vertical="center"/>
    </xf>
    <xf numFmtId="2" fontId="1" fillId="0" borderId="16" xfId="1" applyNumberFormat="1" applyFont="1" applyBorder="1" applyAlignment="1">
      <alignment horizontal="center" vertical="center"/>
    </xf>
    <xf numFmtId="2" fontId="1" fillId="0" borderId="17" xfId="1" applyNumberFormat="1" applyFont="1" applyBorder="1" applyAlignment="1">
      <alignment horizontal="center" vertical="center"/>
    </xf>
    <xf numFmtId="2" fontId="6" fillId="0" borderId="18" xfId="1" applyNumberFormat="1" applyFont="1" applyBorder="1" applyAlignment="1">
      <alignment horizontal="center" vertical="center"/>
    </xf>
    <xf numFmtId="2" fontId="6" fillId="0" borderId="16" xfId="1" applyNumberFormat="1" applyFont="1" applyBorder="1" applyAlignment="1">
      <alignment horizontal="center" vertical="center"/>
    </xf>
    <xf numFmtId="2" fontId="6" fillId="0" borderId="17" xfId="1" applyNumberFormat="1" applyFont="1" applyBorder="1" applyAlignment="1">
      <alignment horizontal="center" vertical="center"/>
    </xf>
    <xf numFmtId="49" fontId="3" fillId="2" borderId="61" xfId="1" applyNumberFormat="1" applyFont="1" applyFill="1" applyBorder="1" applyAlignment="1">
      <alignment horizontal="center" vertical="center" wrapText="1"/>
    </xf>
    <xf numFmtId="166" fontId="0" fillId="0" borderId="0" xfId="0" applyNumberFormat="1"/>
    <xf numFmtId="0" fontId="0" fillId="0" borderId="0" xfId="0" applyNumberFormat="1"/>
    <xf numFmtId="166" fontId="1" fillId="0" borderId="51" xfId="1" applyNumberFormat="1" applyFont="1" applyBorder="1" applyAlignment="1">
      <alignment horizontal="center" vertical="center"/>
    </xf>
    <xf numFmtId="166" fontId="1" fillId="0" borderId="8" xfId="1" applyNumberFormat="1" applyFont="1" applyBorder="1" applyAlignment="1">
      <alignment horizontal="center" vertical="center"/>
    </xf>
    <xf numFmtId="166" fontId="1" fillId="0" borderId="9" xfId="1" applyNumberFormat="1" applyFont="1" applyBorder="1" applyAlignment="1">
      <alignment horizontal="center" vertical="center"/>
    </xf>
    <xf numFmtId="166" fontId="1" fillId="0" borderId="10" xfId="1" applyNumberFormat="1" applyFont="1" applyBorder="1" applyAlignment="1">
      <alignment horizontal="center" vertical="center"/>
    </xf>
    <xf numFmtId="166" fontId="1" fillId="0" borderId="11" xfId="1" applyNumberFormat="1" applyFont="1" applyBorder="1" applyAlignment="1">
      <alignment horizontal="center" vertical="center"/>
    </xf>
    <xf numFmtId="166" fontId="1" fillId="0" borderId="12" xfId="1" applyNumberFormat="1" applyFont="1" applyBorder="1" applyAlignment="1">
      <alignment horizontal="center" vertical="center"/>
    </xf>
    <xf numFmtId="166" fontId="1" fillId="0" borderId="18" xfId="1" applyNumberFormat="1" applyFont="1" applyBorder="1" applyAlignment="1">
      <alignment horizontal="center" vertical="center"/>
    </xf>
    <xf numFmtId="166" fontId="1" fillId="0" borderId="15" xfId="1" applyNumberFormat="1" applyFont="1" applyBorder="1" applyAlignment="1">
      <alignment horizontal="center" vertical="center"/>
    </xf>
    <xf numFmtId="166" fontId="1" fillId="0" borderId="16" xfId="1" applyNumberFormat="1" applyFont="1" applyBorder="1" applyAlignment="1">
      <alignment horizontal="center" vertical="center"/>
    </xf>
    <xf numFmtId="166" fontId="1" fillId="0" borderId="17" xfId="1" applyNumberFormat="1" applyFont="1" applyBorder="1" applyAlignment="1">
      <alignment horizontal="center" vertical="center"/>
    </xf>
    <xf numFmtId="166" fontId="6" fillId="0" borderId="18" xfId="1" applyNumberFormat="1" applyFont="1" applyBorder="1" applyAlignment="1">
      <alignment horizontal="center" vertical="center"/>
    </xf>
    <xf numFmtId="166" fontId="6" fillId="0" borderId="15" xfId="1" applyNumberFormat="1" applyFont="1" applyBorder="1" applyAlignment="1">
      <alignment horizontal="center" vertical="center"/>
    </xf>
    <xf numFmtId="166" fontId="6" fillId="0" borderId="16" xfId="1" applyNumberFormat="1" applyFont="1" applyBorder="1" applyAlignment="1">
      <alignment horizontal="center" vertical="center"/>
    </xf>
    <xf numFmtId="166" fontId="6" fillId="0" borderId="17" xfId="1" applyNumberFormat="1" applyFont="1" applyBorder="1" applyAlignment="1">
      <alignment horizontal="center" vertical="center"/>
    </xf>
    <xf numFmtId="166" fontId="1" fillId="0" borderId="24" xfId="1" applyNumberFormat="1" applyFont="1" applyBorder="1" applyAlignment="1">
      <alignment horizontal="center" vertical="center"/>
    </xf>
    <xf numFmtId="166" fontId="1" fillId="0" borderId="21" xfId="1" applyNumberFormat="1" applyFont="1" applyBorder="1" applyAlignment="1">
      <alignment horizontal="center" vertical="center"/>
    </xf>
    <xf numFmtId="166" fontId="1" fillId="0" borderId="22" xfId="1" applyNumberFormat="1" applyFont="1" applyBorder="1" applyAlignment="1">
      <alignment horizontal="center" vertical="center"/>
    </xf>
    <xf numFmtId="166" fontId="1" fillId="0" borderId="23" xfId="1" applyNumberFormat="1" applyFont="1" applyBorder="1" applyAlignment="1">
      <alignment horizontal="center" vertical="center"/>
    </xf>
    <xf numFmtId="4" fontId="1" fillId="0" borderId="51" xfId="1" applyNumberFormat="1" applyFont="1" applyBorder="1" applyAlignment="1">
      <alignment horizontal="center" vertical="center"/>
    </xf>
    <xf numFmtId="4" fontId="1" fillId="0" borderId="9" xfId="1" applyNumberFormat="1" applyFont="1" applyBorder="1" applyAlignment="1">
      <alignment horizontal="center" vertical="center"/>
    </xf>
    <xf numFmtId="4" fontId="1" fillId="0" borderId="10" xfId="1" applyNumberFormat="1" applyFont="1" applyBorder="1" applyAlignment="1">
      <alignment horizontal="center" vertical="center"/>
    </xf>
    <xf numFmtId="4" fontId="1" fillId="0" borderId="11" xfId="1" applyNumberFormat="1" applyFont="1" applyBorder="1" applyAlignment="1">
      <alignment horizontal="center" vertical="center"/>
    </xf>
    <xf numFmtId="4" fontId="1" fillId="0" borderId="12" xfId="1" applyNumberFormat="1" applyFont="1" applyBorder="1" applyAlignment="1">
      <alignment horizontal="center" vertical="center"/>
    </xf>
    <xf numFmtId="4" fontId="1" fillId="0" borderId="18" xfId="1" applyNumberFormat="1" applyFont="1" applyBorder="1" applyAlignment="1">
      <alignment horizontal="center" vertical="center"/>
    </xf>
    <xf numFmtId="4" fontId="1" fillId="0" borderId="16" xfId="1" applyNumberFormat="1" applyFont="1" applyBorder="1" applyAlignment="1">
      <alignment horizontal="center" vertical="center"/>
    </xf>
    <xf numFmtId="4" fontId="1" fillId="0" borderId="17" xfId="1" applyNumberFormat="1" applyFont="1" applyBorder="1" applyAlignment="1">
      <alignment horizontal="center" vertical="center"/>
    </xf>
    <xf numFmtId="4" fontId="6" fillId="0" borderId="18" xfId="1" applyNumberFormat="1" applyFont="1" applyBorder="1" applyAlignment="1">
      <alignment horizontal="center" vertical="center"/>
    </xf>
    <xf numFmtId="4" fontId="6" fillId="0" borderId="16" xfId="1" applyNumberFormat="1" applyFont="1" applyBorder="1" applyAlignment="1">
      <alignment horizontal="center" vertical="center"/>
    </xf>
    <xf numFmtId="4" fontId="6" fillId="0" borderId="17" xfId="1" applyNumberFormat="1" applyFont="1" applyBorder="1" applyAlignment="1">
      <alignment horizontal="center" vertical="center"/>
    </xf>
    <xf numFmtId="2" fontId="5" fillId="0" borderId="29" xfId="1" applyNumberFormat="1" applyFont="1" applyFill="1" applyBorder="1" applyAlignment="1">
      <alignment horizontal="center" vertical="center"/>
    </xf>
    <xf numFmtId="2" fontId="5" fillId="0" borderId="52" xfId="1" applyNumberFormat="1" applyFont="1" applyFill="1" applyBorder="1" applyAlignment="1">
      <alignment horizontal="center" vertical="center"/>
    </xf>
    <xf numFmtId="2" fontId="5" fillId="0" borderId="32" xfId="1" applyNumberFormat="1" applyFont="1" applyFill="1" applyBorder="1" applyAlignment="1">
      <alignment horizontal="center" vertical="center"/>
    </xf>
    <xf numFmtId="2" fontId="5" fillId="0" borderId="53" xfId="1" applyNumberFormat="1" applyFont="1" applyFill="1" applyBorder="1" applyAlignment="1">
      <alignment horizontal="center" vertical="center"/>
    </xf>
    <xf numFmtId="2" fontId="5" fillId="0" borderId="54" xfId="1" applyNumberFormat="1" applyFont="1" applyFill="1" applyBorder="1" applyAlignment="1">
      <alignment horizontal="center" vertical="center"/>
    </xf>
    <xf numFmtId="2" fontId="5" fillId="0" borderId="55" xfId="1" applyNumberFormat="1" applyFont="1" applyFill="1" applyBorder="1" applyAlignment="1">
      <alignment horizontal="center" vertical="center"/>
    </xf>
    <xf numFmtId="2" fontId="5" fillId="0" borderId="56" xfId="1" applyNumberFormat="1" applyFont="1" applyFill="1" applyBorder="1" applyAlignment="1">
      <alignment horizontal="center" vertical="center"/>
    </xf>
    <xf numFmtId="2" fontId="5" fillId="0" borderId="37" xfId="1" applyNumberFormat="1" applyFont="1" applyFill="1" applyBorder="1" applyAlignment="1">
      <alignment horizontal="center" vertical="center"/>
    </xf>
    <xf numFmtId="2" fontId="5" fillId="0" borderId="42" xfId="1" applyNumberFormat="1" applyFont="1" applyFill="1" applyBorder="1" applyAlignment="1">
      <alignment horizontal="center" vertical="center"/>
    </xf>
    <xf numFmtId="2" fontId="5" fillId="0" borderId="40" xfId="1" applyNumberFormat="1" applyFont="1" applyFill="1" applyBorder="1" applyAlignment="1">
      <alignment horizontal="center" vertical="center"/>
    </xf>
    <xf numFmtId="2" fontId="5" fillId="0" borderId="43" xfId="1" applyNumberFormat="1" applyFont="1" applyFill="1" applyBorder="1" applyAlignment="1">
      <alignment horizontal="center" vertical="center"/>
    </xf>
    <xf numFmtId="2" fontId="5" fillId="0" borderId="39" xfId="1" applyNumberFormat="1" applyFont="1" applyFill="1" applyBorder="1" applyAlignment="1">
      <alignment horizontal="center" vertical="center"/>
    </xf>
    <xf numFmtId="2" fontId="5" fillId="0" borderId="41" xfId="1" applyNumberFormat="1" applyFont="1" applyFill="1" applyBorder="1" applyAlignment="1">
      <alignment horizontal="center" vertical="center"/>
    </xf>
    <xf numFmtId="2" fontId="8" fillId="0" borderId="37" xfId="1" applyNumberFormat="1" applyFont="1" applyFill="1" applyBorder="1" applyAlignment="1">
      <alignment horizontal="center" vertical="center"/>
    </xf>
    <xf numFmtId="2" fontId="8" fillId="0" borderId="42" xfId="1" applyNumberFormat="1" applyFont="1" applyFill="1" applyBorder="1" applyAlignment="1">
      <alignment horizontal="center" vertical="center"/>
    </xf>
    <xf numFmtId="2" fontId="8" fillId="0" borderId="40" xfId="1" applyNumberFormat="1" applyFont="1" applyFill="1" applyBorder="1" applyAlignment="1">
      <alignment horizontal="center" vertical="center"/>
    </xf>
    <xf numFmtId="2" fontId="8" fillId="0" borderId="43" xfId="1" applyNumberFormat="1" applyFont="1" applyFill="1" applyBorder="1" applyAlignment="1">
      <alignment horizontal="center" vertical="center"/>
    </xf>
    <xf numFmtId="2" fontId="8" fillId="0" borderId="39" xfId="1" applyNumberFormat="1" applyFont="1" applyFill="1" applyBorder="1" applyAlignment="1">
      <alignment horizontal="center" vertical="center"/>
    </xf>
    <xf numFmtId="2" fontId="8" fillId="0" borderId="41" xfId="1" applyNumberFormat="1" applyFont="1" applyFill="1" applyBorder="1" applyAlignment="1">
      <alignment horizontal="center" vertical="center"/>
    </xf>
    <xf numFmtId="2" fontId="9" fillId="0" borderId="37" xfId="1" applyNumberFormat="1" applyFont="1" applyFill="1" applyBorder="1" applyAlignment="1">
      <alignment horizontal="center" vertical="center"/>
    </xf>
    <xf numFmtId="2" fontId="5" fillId="5" borderId="30" xfId="1" applyNumberFormat="1" applyFont="1" applyFill="1" applyBorder="1" applyAlignment="1">
      <alignment horizontal="center" vertical="center"/>
    </xf>
    <xf numFmtId="2" fontId="5" fillId="5" borderId="31" xfId="1" applyNumberFormat="1" applyFont="1" applyFill="1" applyBorder="1" applyAlignment="1">
      <alignment horizontal="center" vertical="center"/>
    </xf>
    <xf numFmtId="2" fontId="5" fillId="5" borderId="32" xfId="1" applyNumberFormat="1" applyFont="1" applyFill="1" applyBorder="1" applyAlignment="1">
      <alignment horizontal="center" vertical="center"/>
    </xf>
    <xf numFmtId="2" fontId="5" fillId="5" borderId="33" xfId="1" applyNumberFormat="1" applyFont="1" applyFill="1" applyBorder="1" applyAlignment="1">
      <alignment horizontal="center" vertical="center"/>
    </xf>
    <xf numFmtId="2" fontId="5" fillId="5" borderId="34" xfId="1" applyNumberFormat="1" applyFont="1" applyFill="1" applyBorder="1" applyAlignment="1">
      <alignment horizontal="center" vertical="center"/>
    </xf>
    <xf numFmtId="2" fontId="5" fillId="5" borderId="35" xfId="1" applyNumberFormat="1" applyFont="1" applyFill="1" applyBorder="1" applyAlignment="1">
      <alignment horizontal="center" vertical="center"/>
    </xf>
    <xf numFmtId="2" fontId="5" fillId="5" borderId="36" xfId="1" applyNumberFormat="1" applyFont="1" applyFill="1" applyBorder="1" applyAlignment="1">
      <alignment horizontal="center" vertical="center"/>
    </xf>
    <xf numFmtId="2" fontId="5" fillId="0" borderId="38" xfId="1" applyNumberFormat="1" applyFont="1" applyFill="1" applyBorder="1" applyAlignment="1">
      <alignment horizontal="center" vertical="center"/>
    </xf>
    <xf numFmtId="2" fontId="5" fillId="5" borderId="38" xfId="1" applyNumberFormat="1" applyFont="1" applyFill="1" applyBorder="1" applyAlignment="1">
      <alignment horizontal="center" vertical="center"/>
    </xf>
    <xf numFmtId="2" fontId="5" fillId="5" borderId="39" xfId="1" applyNumberFormat="1" applyFont="1" applyFill="1" applyBorder="1" applyAlignment="1">
      <alignment horizontal="center" vertical="center"/>
    </xf>
    <xf numFmtId="2" fontId="5" fillId="5" borderId="40" xfId="1" applyNumberFormat="1" applyFont="1" applyFill="1" applyBorder="1" applyAlignment="1">
      <alignment horizontal="center" vertical="center"/>
    </xf>
    <xf numFmtId="2" fontId="5" fillId="5" borderId="41" xfId="1" applyNumberFormat="1" applyFont="1" applyFill="1" applyBorder="1" applyAlignment="1">
      <alignment horizontal="center" vertical="center"/>
    </xf>
    <xf numFmtId="2" fontId="5" fillId="5" borderId="42" xfId="1" applyNumberFormat="1" applyFont="1" applyFill="1" applyBorder="1" applyAlignment="1">
      <alignment horizontal="center" vertical="center"/>
    </xf>
    <xf numFmtId="2" fontId="5" fillId="5" borderId="43" xfId="1" applyNumberFormat="1" applyFont="1" applyFill="1" applyBorder="1" applyAlignment="1">
      <alignment horizontal="center" vertical="center"/>
    </xf>
    <xf numFmtId="2" fontId="5" fillId="5" borderId="45" xfId="1" applyNumberFormat="1" applyFont="1" applyFill="1" applyBorder="1" applyAlignment="1">
      <alignment horizontal="center" vertical="center"/>
    </xf>
    <xf numFmtId="2" fontId="5" fillId="5" borderId="46" xfId="1" applyNumberFormat="1" applyFont="1" applyFill="1" applyBorder="1" applyAlignment="1">
      <alignment horizontal="center" vertical="center"/>
    </xf>
    <xf numFmtId="2" fontId="5" fillId="5" borderId="47" xfId="1" applyNumberFormat="1" applyFont="1" applyFill="1" applyBorder="1" applyAlignment="1">
      <alignment horizontal="center" vertical="center"/>
    </xf>
    <xf numFmtId="2" fontId="5" fillId="5" borderId="48" xfId="1" applyNumberFormat="1" applyFont="1" applyFill="1" applyBorder="1" applyAlignment="1">
      <alignment horizontal="center" vertical="center"/>
    </xf>
    <xf numFmtId="2" fontId="5" fillId="5" borderId="49" xfId="1" applyNumberFormat="1" applyFont="1" applyFill="1" applyBorder="1" applyAlignment="1">
      <alignment horizontal="center" vertical="center"/>
    </xf>
    <xf numFmtId="2" fontId="5" fillId="5" borderId="50" xfId="1" applyNumberFormat="1" applyFont="1" applyFill="1" applyBorder="1" applyAlignment="1">
      <alignment horizontal="center" vertical="center"/>
    </xf>
    <xf numFmtId="2" fontId="5" fillId="0" borderId="45" xfId="1" applyNumberFormat="1" applyFont="1" applyFill="1" applyBorder="1" applyAlignment="1">
      <alignment horizontal="center" vertical="center"/>
    </xf>
    <xf numFmtId="2" fontId="5" fillId="0" borderId="46" xfId="1" applyNumberFormat="1" applyFont="1" applyFill="1" applyBorder="1" applyAlignment="1">
      <alignment horizontal="center" vertical="center"/>
    </xf>
    <xf numFmtId="2" fontId="5" fillId="0" borderId="47" xfId="1" applyNumberFormat="1" applyFont="1" applyFill="1" applyBorder="1" applyAlignment="1">
      <alignment horizontal="center" vertical="center"/>
    </xf>
    <xf numFmtId="2" fontId="5" fillId="0" borderId="48" xfId="1" applyNumberFormat="1" applyFont="1" applyFill="1" applyBorder="1" applyAlignment="1">
      <alignment horizontal="center" vertical="center"/>
    </xf>
    <xf numFmtId="2" fontId="5" fillId="0" borderId="49" xfId="1" applyNumberFormat="1" applyFont="1" applyFill="1" applyBorder="1" applyAlignment="1">
      <alignment horizontal="center" vertical="center"/>
    </xf>
    <xf numFmtId="2" fontId="5" fillId="0" borderId="50" xfId="1" applyNumberFormat="1" applyFont="1" applyFill="1" applyBorder="1" applyAlignment="1">
      <alignment horizontal="center" vertical="center"/>
    </xf>
  </cellXfs>
  <cellStyles count="4">
    <cellStyle name="Comma" xfId="1" builtinId="3"/>
    <cellStyle name="Normal" xfId="0" builtinId="0"/>
    <cellStyle name="Normal 2" xfId="2" xr:uid="{F047F57F-FBEF-45D9-823C-28BB724105E9}"/>
    <cellStyle name="Normal 3" xfId="3" xr:uid="{1C79DDF8-F07E-4606-94A0-D410A3827A71}"/>
  </cellStyles>
  <dxfs count="100">
    <dxf>
      <numFmt numFmtId="166" formatCode="0.0"/>
    </dxf>
    <dxf>
      <numFmt numFmtId="166" formatCode="0.0"/>
    </dxf>
    <dxf>
      <numFmt numFmtId="166" formatCode="0.0"/>
    </dxf>
    <dxf>
      <numFmt numFmtId="166" formatCode="0.0"/>
    </dxf>
    <dxf>
      <numFmt numFmtId="0" formatCode="General"/>
    </dxf>
    <dxf>
      <numFmt numFmtId="0" formatCode="General"/>
    </dxf>
    <dxf>
      <numFmt numFmtId="166" formatCode="0.0"/>
    </dxf>
    <dxf>
      <font>
        <b val="0"/>
        <i val="0"/>
        <strike val="0"/>
        <condense val="0"/>
        <extend val="0"/>
        <outline val="0"/>
        <shadow val="0"/>
        <u val="none"/>
        <vertAlign val="baseline"/>
        <sz val="11"/>
        <color rgb="FF000000"/>
        <name val="Calibri"/>
        <family val="2"/>
        <scheme val="none"/>
      </font>
      <numFmt numFmtId="2" formatCode="0.00"/>
      <alignment horizontal="center" vertical="center" textRotation="0" wrapText="0" indent="0" justifyLastLine="0" shrinkToFit="0" readingOrder="0"/>
      <border diagonalUp="0" diagonalDown="0">
        <left style="thin">
          <color rgb="FFD9D9D9"/>
        </left>
        <right/>
        <top style="thin">
          <color rgb="FFD9D9D9"/>
        </top>
        <bottom/>
        <vertical/>
        <horizontal/>
      </border>
    </dxf>
    <dxf>
      <font>
        <b val="0"/>
        <i val="0"/>
        <strike val="0"/>
        <condense val="0"/>
        <extend val="0"/>
        <outline val="0"/>
        <shadow val="0"/>
        <u val="none"/>
        <vertAlign val="baseline"/>
        <sz val="11"/>
        <color rgb="FF000000"/>
        <name val="Calibri"/>
        <family val="2"/>
        <scheme val="none"/>
      </font>
      <numFmt numFmtId="2" formatCode="0.00"/>
      <alignment horizontal="center" vertical="center" textRotation="0" wrapText="0" indent="0" justifyLastLine="0" shrinkToFit="0" readingOrder="0"/>
      <border diagonalUp="0" diagonalDown="0">
        <left style="thin">
          <color rgb="FFD9D9D9"/>
        </left>
        <right style="thin">
          <color rgb="FFD9D9D9"/>
        </right>
        <top style="thin">
          <color rgb="FFD9D9D9"/>
        </top>
        <bottom/>
        <vertical/>
        <horizontal/>
      </border>
    </dxf>
    <dxf>
      <font>
        <b val="0"/>
        <i val="0"/>
        <strike val="0"/>
        <condense val="0"/>
        <extend val="0"/>
        <outline val="0"/>
        <shadow val="0"/>
        <u val="none"/>
        <vertAlign val="baseline"/>
        <sz val="11"/>
        <color rgb="FF000000"/>
        <name val="Calibri"/>
        <family val="2"/>
        <scheme val="none"/>
      </font>
      <numFmt numFmtId="2" formatCode="0.00"/>
      <alignment horizontal="center" vertical="center" textRotation="0" wrapText="0" indent="0" justifyLastLine="0" shrinkToFit="0" readingOrder="0"/>
      <border diagonalUp="0" diagonalDown="0">
        <left style="thin">
          <color rgb="FFD9D9D9"/>
        </left>
        <right style="thin">
          <color rgb="FFD9D9D9"/>
        </right>
        <top style="thin">
          <color rgb="FFD9D9D9"/>
        </top>
        <bottom/>
        <vertical/>
        <horizontal/>
      </border>
    </dxf>
    <dxf>
      <font>
        <b val="0"/>
        <i val="0"/>
        <strike val="0"/>
        <condense val="0"/>
        <extend val="0"/>
        <outline val="0"/>
        <shadow val="0"/>
        <u val="none"/>
        <vertAlign val="baseline"/>
        <sz val="11"/>
        <color rgb="FF000000"/>
        <name val="Calibri"/>
        <family val="2"/>
        <scheme val="none"/>
      </font>
      <numFmt numFmtId="2" formatCode="0.00"/>
      <alignment horizontal="center" vertical="center" textRotation="0" wrapText="0" indent="0" justifyLastLine="0" shrinkToFit="0" readingOrder="0"/>
      <border diagonalUp="0" diagonalDown="0">
        <left style="thin">
          <color rgb="FFD9D9D9"/>
        </left>
        <right style="thin">
          <color rgb="FFD9D9D9"/>
        </right>
        <top style="thin">
          <color rgb="FFD9D9D9"/>
        </top>
        <bottom/>
        <vertical/>
        <horizontal/>
      </border>
    </dxf>
    <dxf>
      <font>
        <b val="0"/>
        <i val="0"/>
        <strike val="0"/>
        <condense val="0"/>
        <extend val="0"/>
        <outline val="0"/>
        <shadow val="0"/>
        <u val="none"/>
        <vertAlign val="baseline"/>
        <sz val="11"/>
        <color rgb="FF000000"/>
        <name val="Calibri"/>
        <family val="2"/>
        <scheme val="none"/>
      </font>
      <numFmt numFmtId="2" formatCode="0.00"/>
      <alignment horizontal="center" vertical="center" textRotation="0" wrapText="0" indent="0" justifyLastLine="0" shrinkToFit="0" readingOrder="0"/>
      <border diagonalUp="0" diagonalDown="0">
        <left style="thin">
          <color rgb="FFD9D9D9"/>
        </left>
        <right style="thin">
          <color rgb="FFD9D9D9"/>
        </right>
        <top style="thin">
          <color rgb="FFD9D9D9"/>
        </top>
        <bottom/>
        <vertical/>
        <horizontal/>
      </border>
    </dxf>
    <dxf>
      <font>
        <b val="0"/>
        <i val="0"/>
        <strike val="0"/>
        <condense val="0"/>
        <extend val="0"/>
        <outline val="0"/>
        <shadow val="0"/>
        <u val="none"/>
        <vertAlign val="baseline"/>
        <sz val="11"/>
        <color rgb="FF000000"/>
        <name val="Calibri"/>
        <family val="2"/>
        <scheme val="none"/>
      </font>
      <numFmt numFmtId="2" formatCode="0.00"/>
      <alignment horizontal="center" vertical="center" textRotation="0" wrapText="0" indent="0" justifyLastLine="0" shrinkToFit="0" readingOrder="0"/>
      <border diagonalUp="0" diagonalDown="0">
        <left style="medium">
          <color auto="1"/>
        </left>
        <right style="thin">
          <color rgb="FFD9D9D9"/>
        </right>
        <top style="thin">
          <color rgb="FFD9D9D9"/>
        </top>
        <bottom/>
        <vertical/>
        <horizontal/>
      </border>
    </dxf>
    <dxf>
      <font>
        <b val="0"/>
        <i val="0"/>
        <strike val="0"/>
        <condense val="0"/>
        <extend val="0"/>
        <outline val="0"/>
        <shadow val="0"/>
        <u val="none"/>
        <vertAlign val="baseline"/>
        <sz val="11"/>
        <color rgb="FF000000"/>
        <name val="Calibri"/>
        <family val="2"/>
        <scheme val="none"/>
      </font>
      <numFmt numFmtId="2" formatCode="0.00"/>
      <fill>
        <patternFill patternType="none">
          <fgColor rgb="FF000000"/>
          <bgColor auto="1"/>
        </patternFill>
      </fill>
      <alignment horizontal="center" vertical="center" textRotation="0" wrapText="0" indent="0" justifyLastLine="0" shrinkToFit="0" readingOrder="0"/>
      <border diagonalUp="0" diagonalDown="0">
        <left style="thin">
          <color rgb="FFD9D9D9"/>
        </left>
        <right/>
        <top style="thin">
          <color rgb="FFD9D9D9"/>
        </top>
        <bottom/>
      </border>
    </dxf>
    <dxf>
      <font>
        <b val="0"/>
        <i val="0"/>
        <strike val="0"/>
        <condense val="0"/>
        <extend val="0"/>
        <outline val="0"/>
        <shadow val="0"/>
        <u val="none"/>
        <vertAlign val="baseline"/>
        <sz val="11"/>
        <color rgb="FF000000"/>
        <name val="Calibri"/>
        <family val="2"/>
        <scheme val="none"/>
      </font>
      <numFmt numFmtId="2" formatCode="0.00"/>
      <fill>
        <patternFill patternType="none">
          <fgColor rgb="FF000000"/>
          <bgColor auto="1"/>
        </patternFill>
      </fill>
      <alignment horizontal="center" vertical="center" textRotation="0" wrapText="0" indent="0" justifyLastLine="0" shrinkToFit="0" readingOrder="0"/>
      <border diagonalUp="0" diagonalDown="0">
        <left style="thin">
          <color rgb="FFD9D9D9"/>
        </left>
        <right style="thin">
          <color rgb="FFD9D9D9"/>
        </right>
        <top style="thin">
          <color rgb="FFD9D9D9"/>
        </top>
        <bottom/>
      </border>
    </dxf>
    <dxf>
      <font>
        <b val="0"/>
        <i val="0"/>
        <strike val="0"/>
        <condense val="0"/>
        <extend val="0"/>
        <outline val="0"/>
        <shadow val="0"/>
        <u val="none"/>
        <vertAlign val="baseline"/>
        <sz val="11"/>
        <color rgb="FF000000"/>
        <name val="Calibri"/>
        <family val="2"/>
        <scheme val="none"/>
      </font>
      <numFmt numFmtId="2" formatCode="0.00"/>
      <fill>
        <patternFill patternType="none">
          <fgColor rgb="FF000000"/>
          <bgColor auto="1"/>
        </patternFill>
      </fill>
      <alignment horizontal="center" vertical="center" textRotation="0" wrapText="0" indent="0" justifyLastLine="0" shrinkToFit="0" readingOrder="0"/>
      <border diagonalUp="0" diagonalDown="0">
        <left style="thin">
          <color rgb="FFD9D9D9"/>
        </left>
        <right style="thin">
          <color rgb="FFD9D9D9"/>
        </right>
        <top style="thin">
          <color rgb="FFD9D9D9"/>
        </top>
        <bottom/>
      </border>
    </dxf>
    <dxf>
      <font>
        <b val="0"/>
        <i val="0"/>
        <strike val="0"/>
        <condense val="0"/>
        <extend val="0"/>
        <outline val="0"/>
        <shadow val="0"/>
        <u val="none"/>
        <vertAlign val="baseline"/>
        <sz val="11"/>
        <color rgb="FF000000"/>
        <name val="Calibri"/>
        <family val="2"/>
        <scheme val="none"/>
      </font>
      <numFmt numFmtId="2" formatCode="0.00"/>
      <fill>
        <patternFill patternType="none">
          <fgColor rgb="FF000000"/>
          <bgColor auto="1"/>
        </patternFill>
      </fill>
      <alignment horizontal="center" vertical="center" textRotation="0" wrapText="0" indent="0" justifyLastLine="0" shrinkToFit="0" readingOrder="0"/>
      <border diagonalUp="0" diagonalDown="0">
        <left style="thin">
          <color rgb="FFD9D9D9"/>
        </left>
        <right style="thin">
          <color rgb="FFD9D9D9"/>
        </right>
        <top style="thin">
          <color rgb="FFD9D9D9"/>
        </top>
        <bottom/>
      </border>
    </dxf>
    <dxf>
      <font>
        <b val="0"/>
        <i val="0"/>
        <strike val="0"/>
        <condense val="0"/>
        <extend val="0"/>
        <outline val="0"/>
        <shadow val="0"/>
        <u val="none"/>
        <vertAlign val="baseline"/>
        <sz val="11"/>
        <color rgb="FF000000"/>
        <name val="Calibri"/>
        <family val="2"/>
        <scheme val="none"/>
      </font>
      <numFmt numFmtId="2" formatCode="0.00"/>
      <fill>
        <patternFill patternType="none">
          <fgColor rgb="FF000000"/>
          <bgColor auto="1"/>
        </patternFill>
      </fill>
      <alignment horizontal="center" vertical="center" textRotation="0" wrapText="0" indent="0" justifyLastLine="0" shrinkToFit="0" readingOrder="0"/>
      <border diagonalUp="0" diagonalDown="0">
        <left style="thin">
          <color rgb="FFD9D9D9"/>
        </left>
        <right style="thin">
          <color rgb="FFD9D9D9"/>
        </right>
        <top style="thin">
          <color rgb="FFD9D9D9"/>
        </top>
        <bottom/>
      </border>
    </dxf>
    <dxf>
      <font>
        <b val="0"/>
        <i val="0"/>
        <strike val="0"/>
        <condense val="0"/>
        <extend val="0"/>
        <outline val="0"/>
        <shadow val="0"/>
        <u val="none"/>
        <vertAlign val="baseline"/>
        <sz val="11"/>
        <color rgb="FF000000"/>
        <name val="Calibri"/>
        <family val="2"/>
        <scheme val="none"/>
      </font>
      <numFmt numFmtId="2" formatCode="0.00"/>
      <fill>
        <patternFill patternType="none">
          <fgColor rgb="FF000000"/>
          <bgColor auto="1"/>
        </patternFill>
      </fill>
      <alignment horizontal="center" vertical="center" textRotation="0" wrapText="0" indent="0" justifyLastLine="0" shrinkToFit="0" readingOrder="0"/>
      <border diagonalUp="0" diagonalDown="0">
        <left/>
        <right style="thin">
          <color rgb="FFD9D9D9"/>
        </right>
        <top style="thin">
          <color rgb="FFD9D9D9"/>
        </top>
        <bottom/>
      </border>
    </dxf>
    <dxf>
      <font>
        <b val="0"/>
        <i val="0"/>
        <strike val="0"/>
        <condense val="0"/>
        <extend val="0"/>
        <outline val="0"/>
        <shadow val="0"/>
        <u val="none"/>
        <vertAlign val="baseline"/>
        <sz val="11"/>
        <color rgb="FF000000"/>
        <name val="Calibri"/>
        <family val="2"/>
        <scheme val="none"/>
      </font>
      <numFmt numFmtId="2" formatCode="0.00"/>
      <alignment horizontal="center" vertical="center" textRotation="0" wrapText="0" indent="0" justifyLastLine="0" shrinkToFit="0" readingOrder="0"/>
      <border diagonalUp="0" diagonalDown="0">
        <left style="medium">
          <color auto="1"/>
        </left>
        <right style="medium">
          <color auto="1"/>
        </right>
        <top style="thin">
          <color rgb="FFD9D9D9"/>
        </top>
        <bottom/>
        <vertical/>
        <horizontal/>
      </border>
    </dxf>
    <dxf>
      <font>
        <b val="0"/>
        <i val="0"/>
        <strike val="0"/>
        <condense val="0"/>
        <extend val="0"/>
        <outline val="0"/>
        <shadow val="0"/>
        <u val="none"/>
        <vertAlign val="baseline"/>
        <sz val="11"/>
        <color rgb="FF000000"/>
        <name val="Calibri"/>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rgb="FFD9D9D9"/>
        </left>
        <right style="medium">
          <color auto="1"/>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medium">
          <color auto="1"/>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medium">
          <color auto="1"/>
        </left>
        <right/>
        <top style="thin">
          <color rgb="FFD9D9D9"/>
        </top>
        <bottom style="thin">
          <color rgb="FFD9D9D9"/>
        </bottom>
        <vertical/>
        <horizontal/>
      </border>
    </dxf>
    <dxf>
      <font>
        <b val="0"/>
        <i val="0"/>
        <strike val="0"/>
        <condense val="0"/>
        <extend val="0"/>
        <outline val="0"/>
        <shadow val="0"/>
        <u val="none"/>
        <vertAlign val="baseline"/>
        <sz val="11"/>
        <color theme="1"/>
        <name val="Aptos Narrow"/>
        <family val="2"/>
        <scheme val="minor"/>
      </font>
      <numFmt numFmtId="4" formatCode="#,##0.00"/>
      <alignment horizontal="center" vertical="center" textRotation="0" wrapText="0" indent="0" justifyLastLine="0" shrinkToFit="0" readingOrder="0"/>
      <border diagonalUp="0" diagonalDown="0">
        <left style="thin">
          <color theme="0" tint="-0.14993743705557422"/>
        </left>
        <right/>
        <top style="thin">
          <color theme="0" tint="-0.14993743705557422"/>
        </top>
        <bottom style="thin">
          <color theme="0" tint="-0.14993743705557422"/>
        </bottom>
        <vertical/>
        <horizontal/>
      </border>
    </dxf>
    <dxf>
      <font>
        <b val="0"/>
        <i val="0"/>
        <strike val="0"/>
        <condense val="0"/>
        <extend val="0"/>
        <outline val="0"/>
        <shadow val="0"/>
        <u val="none"/>
        <vertAlign val="baseline"/>
        <sz val="11"/>
        <color theme="1"/>
        <name val="Aptos Narrow"/>
        <family val="2"/>
        <scheme val="minor"/>
      </font>
      <numFmt numFmtId="4" formatCode="#,##0.00"/>
      <alignment horizontal="center" vertical="center" textRotation="0" wrapText="0" indent="0" justifyLastLine="0" shrinkToFit="0" readingOrder="0"/>
      <border diagonalUp="0" diagonalDown="0">
        <left style="thin">
          <color theme="0" tint="-0.14993743705557422"/>
        </left>
        <right style="thin">
          <color theme="0" tint="-0.14993743705557422"/>
        </right>
        <top style="thin">
          <color theme="0" tint="-0.14993743705557422"/>
        </top>
        <bottom style="thin">
          <color theme="0" tint="-0.14993743705557422"/>
        </bottom>
        <vertical/>
        <horizontal/>
      </border>
    </dxf>
    <dxf>
      <font>
        <b val="0"/>
        <i val="0"/>
        <strike val="0"/>
        <condense val="0"/>
        <extend val="0"/>
        <outline val="0"/>
        <shadow val="0"/>
        <u val="none"/>
        <vertAlign val="baseline"/>
        <sz val="11"/>
        <color theme="1"/>
        <name val="Aptos Narrow"/>
        <family val="2"/>
        <scheme val="minor"/>
      </font>
      <numFmt numFmtId="4" formatCode="#,##0.00"/>
      <alignment horizontal="center" vertical="center" textRotation="0" wrapText="0" indent="0" justifyLastLine="0" shrinkToFit="0" readingOrder="0"/>
      <border diagonalUp="0" diagonalDown="0">
        <left style="thin">
          <color theme="0" tint="-0.14993743705557422"/>
        </left>
        <right style="thin">
          <color theme="0" tint="-0.14993743705557422"/>
        </right>
        <top style="thin">
          <color theme="0" tint="-0.14993743705557422"/>
        </top>
        <bottom style="thin">
          <color theme="0" tint="-0.14993743705557422"/>
        </bottom>
        <vertical/>
        <horizontal/>
      </border>
    </dxf>
    <dxf>
      <font>
        <b val="0"/>
        <i val="0"/>
        <strike val="0"/>
        <condense val="0"/>
        <extend val="0"/>
        <outline val="0"/>
        <shadow val="0"/>
        <u val="none"/>
        <vertAlign val="baseline"/>
        <sz val="11"/>
        <color theme="1"/>
        <name val="Aptos Narrow"/>
        <family val="2"/>
        <scheme val="minor"/>
      </font>
      <numFmt numFmtId="4" formatCode="#,##0.00"/>
      <alignment horizontal="center" vertical="center" textRotation="0" wrapText="0" indent="0" justifyLastLine="0" shrinkToFit="0" readingOrder="0"/>
      <border diagonalUp="0" diagonalDown="0">
        <left style="thin">
          <color theme="0" tint="-0.14993743705557422"/>
        </left>
        <right style="thin">
          <color theme="0" tint="-0.14993743705557422"/>
        </right>
        <top style="thin">
          <color theme="0" tint="-0.14993743705557422"/>
        </top>
        <bottom style="thin">
          <color theme="0" tint="-0.14993743705557422"/>
        </bottom>
        <vertical/>
        <horizontal/>
      </border>
    </dxf>
    <dxf>
      <font>
        <b val="0"/>
        <i val="0"/>
        <strike val="0"/>
        <condense val="0"/>
        <extend val="0"/>
        <outline val="0"/>
        <shadow val="0"/>
        <u val="none"/>
        <vertAlign val="baseline"/>
        <sz val="11"/>
        <color theme="1"/>
        <name val="Aptos Narrow"/>
        <family val="2"/>
        <scheme val="minor"/>
      </font>
      <numFmt numFmtId="4" formatCode="#,##0.00"/>
      <alignment horizontal="center" vertical="center" textRotation="0" wrapText="0" indent="0" justifyLastLine="0" shrinkToFit="0" readingOrder="0"/>
      <border diagonalUp="0" diagonalDown="0">
        <left style="thin">
          <color theme="0" tint="-0.14993743705557422"/>
        </left>
        <right style="thin">
          <color theme="0" tint="-0.14993743705557422"/>
        </right>
        <top style="thin">
          <color theme="0" tint="-0.14993743705557422"/>
        </top>
        <bottom style="thin">
          <color theme="0" tint="-0.14993743705557422"/>
        </bottom>
        <vertical/>
        <horizontal/>
      </border>
    </dxf>
    <dxf>
      <font>
        <b val="0"/>
        <i val="0"/>
        <strike val="0"/>
        <condense val="0"/>
        <extend val="0"/>
        <outline val="0"/>
        <shadow val="0"/>
        <u val="none"/>
        <vertAlign val="baseline"/>
        <sz val="11"/>
        <color theme="1"/>
        <name val="Aptos Narrow"/>
        <family val="2"/>
        <scheme val="minor"/>
      </font>
      <numFmt numFmtId="4" formatCode="#,##0.00"/>
      <alignment horizontal="center" vertical="center" textRotation="0" wrapText="0" indent="0" justifyLastLine="0" shrinkToFit="0" readingOrder="0"/>
      <border diagonalUp="0" diagonalDown="0">
        <left style="medium">
          <color auto="1"/>
        </left>
        <right style="thin">
          <color theme="0" tint="-0.14993743705557422"/>
        </right>
        <top style="thin">
          <color theme="0" tint="-0.14993743705557422"/>
        </top>
        <bottom style="thin">
          <color theme="0" tint="-0.14993743705557422"/>
        </bottom>
        <vertical/>
        <horizontal/>
      </border>
    </dxf>
    <dxf>
      <font>
        <b val="0"/>
        <i val="0"/>
        <strike val="0"/>
        <condense val="0"/>
        <extend val="0"/>
        <outline val="0"/>
        <shadow val="0"/>
        <u val="none"/>
        <vertAlign val="baseline"/>
        <sz val="11"/>
        <color theme="1"/>
        <name val="Aptos Narrow"/>
        <family val="2"/>
        <scheme val="minor"/>
      </font>
      <numFmt numFmtId="4" formatCode="#,##0.00"/>
      <alignment horizontal="center" vertical="center" textRotation="0" wrapText="0" indent="0" justifyLastLine="0" shrinkToFit="0" readingOrder="0"/>
      <border diagonalUp="0" diagonalDown="0">
        <left style="thin">
          <color theme="0" tint="-0.14993743705557422"/>
        </left>
        <right style="thin">
          <color theme="0" tint="-0.14993743705557422"/>
        </right>
        <top style="thin">
          <color theme="0" tint="-0.14993743705557422"/>
        </top>
        <bottom style="thin">
          <color theme="0" tint="-0.14993743705557422"/>
        </bottom>
        <vertical/>
        <horizontal/>
      </border>
    </dxf>
    <dxf>
      <font>
        <b val="0"/>
        <i val="0"/>
        <strike val="0"/>
        <condense val="0"/>
        <extend val="0"/>
        <outline val="0"/>
        <shadow val="0"/>
        <u val="none"/>
        <vertAlign val="baseline"/>
        <sz val="11"/>
        <color theme="1"/>
        <name val="Aptos Narrow"/>
        <family val="2"/>
        <scheme val="minor"/>
      </font>
      <numFmt numFmtId="4" formatCode="#,##0.00"/>
      <alignment horizontal="center" vertical="center" textRotation="0" wrapText="0" indent="0" justifyLastLine="0" shrinkToFit="0" readingOrder="0"/>
      <border diagonalUp="0" diagonalDown="0">
        <left style="thin">
          <color theme="0" tint="-0.14993743705557422"/>
        </left>
        <right style="thin">
          <color theme="0" tint="-0.14993743705557422"/>
        </right>
        <top style="thin">
          <color theme="0" tint="-0.14993743705557422"/>
        </top>
        <bottom style="thin">
          <color theme="0" tint="-0.14993743705557422"/>
        </bottom>
        <vertical/>
        <horizontal/>
      </border>
    </dxf>
    <dxf>
      <font>
        <b val="0"/>
        <i val="0"/>
        <strike val="0"/>
        <condense val="0"/>
        <extend val="0"/>
        <outline val="0"/>
        <shadow val="0"/>
        <u val="none"/>
        <vertAlign val="baseline"/>
        <sz val="11"/>
        <color theme="1"/>
        <name val="Aptos Narrow"/>
        <family val="2"/>
        <scheme val="minor"/>
      </font>
      <numFmt numFmtId="4" formatCode="#,##0.00"/>
      <alignment horizontal="center" vertical="center" textRotation="0" wrapText="0" indent="0" justifyLastLine="0" shrinkToFit="0" readingOrder="0"/>
      <border diagonalUp="0" diagonalDown="0">
        <left style="thin">
          <color theme="0" tint="-0.14993743705557422"/>
        </left>
        <right style="thin">
          <color theme="0" tint="-0.14993743705557422"/>
        </right>
        <top style="thin">
          <color theme="0" tint="-0.14993743705557422"/>
        </top>
        <bottom style="thin">
          <color theme="0" tint="-0.14993743705557422"/>
        </bottom>
        <vertical/>
        <horizontal/>
      </border>
    </dxf>
    <dxf>
      <font>
        <b val="0"/>
        <i val="0"/>
        <strike val="0"/>
        <condense val="0"/>
        <extend val="0"/>
        <outline val="0"/>
        <shadow val="0"/>
        <u val="none"/>
        <vertAlign val="baseline"/>
        <sz val="11"/>
        <color theme="1"/>
        <name val="Aptos Narrow"/>
        <family val="2"/>
        <scheme val="minor"/>
      </font>
      <numFmt numFmtId="4" formatCode="#,##0.00"/>
      <alignment horizontal="center" vertical="center" textRotation="0" wrapText="0" indent="0" justifyLastLine="0" shrinkToFit="0" readingOrder="0"/>
      <border diagonalUp="0" diagonalDown="0">
        <left style="thin">
          <color theme="0" tint="-0.14993743705557422"/>
        </left>
        <right style="thin">
          <color theme="0" tint="-0.14993743705557422"/>
        </right>
        <top style="thin">
          <color theme="0" tint="-0.14993743705557422"/>
        </top>
        <bottom style="thin">
          <color theme="0" tint="-0.14993743705557422"/>
        </bottom>
        <vertical/>
        <horizontal/>
      </border>
    </dxf>
    <dxf>
      <font>
        <b val="0"/>
        <i val="0"/>
        <strike val="0"/>
        <condense val="0"/>
        <extend val="0"/>
        <outline val="0"/>
        <shadow val="0"/>
        <u val="none"/>
        <vertAlign val="baseline"/>
        <sz val="11"/>
        <color theme="1"/>
        <name val="Aptos Narrow"/>
        <family val="2"/>
        <scheme val="minor"/>
      </font>
      <numFmt numFmtId="4" formatCode="#,##0.00"/>
      <alignment horizontal="center" vertical="center" textRotation="0" wrapText="0" indent="0" justifyLastLine="0" shrinkToFit="0" readingOrder="0"/>
      <border diagonalUp="0" diagonalDown="0">
        <left style="thin">
          <color theme="0" tint="-0.14993743705557422"/>
        </left>
        <right style="thin">
          <color theme="0" tint="-0.14993743705557422"/>
        </right>
        <top style="thin">
          <color theme="0" tint="-0.14993743705557422"/>
        </top>
        <bottom style="thin">
          <color theme="0" tint="-0.14993743705557422"/>
        </bottom>
        <vertical/>
        <horizontal/>
      </border>
    </dxf>
    <dxf>
      <font>
        <b val="0"/>
        <i val="0"/>
        <strike val="0"/>
        <condense val="0"/>
        <extend val="0"/>
        <outline val="0"/>
        <shadow val="0"/>
        <u val="none"/>
        <vertAlign val="baseline"/>
        <sz val="11"/>
        <color theme="1"/>
        <name val="Aptos Narrow"/>
        <family val="2"/>
        <scheme val="minor"/>
      </font>
      <numFmt numFmtId="4" formatCode="#,##0.00"/>
      <alignment horizontal="center" vertical="center" textRotation="0" wrapText="0" indent="0" justifyLastLine="0" shrinkToFit="0" readingOrder="0"/>
      <border diagonalUp="0" diagonalDown="0">
        <left style="medium">
          <color auto="1"/>
        </left>
        <right style="thin">
          <color theme="0" tint="-0.14993743705557422"/>
        </right>
        <top style="thin">
          <color theme="0" tint="-0.14993743705557422"/>
        </top>
        <bottom style="thin">
          <color theme="0" tint="-0.14993743705557422"/>
        </bottom>
        <vertical/>
        <horizontal/>
      </border>
    </dxf>
    <dxf>
      <font>
        <b val="0"/>
        <i val="0"/>
        <strike val="0"/>
        <condense val="0"/>
        <extend val="0"/>
        <outline val="0"/>
        <shadow val="0"/>
        <u val="none"/>
        <vertAlign val="baseline"/>
        <sz val="11"/>
        <color theme="1"/>
        <name val="Aptos Narrow"/>
        <family val="2"/>
        <scheme val="minor"/>
      </font>
      <numFmt numFmtId="166" formatCode="0.0"/>
      <alignment horizontal="center" vertical="center" textRotation="0" wrapText="0" indent="0" justifyLastLine="0" shrinkToFit="0" readingOrder="0"/>
      <border diagonalUp="0" diagonalDown="0" outline="0">
        <left style="thin">
          <color theme="0" tint="-0.14993743705557422"/>
        </left>
        <right/>
        <top style="thin">
          <color theme="0" tint="-0.14993743705557422"/>
        </top>
        <bottom/>
      </border>
    </dxf>
    <dxf>
      <font>
        <b val="0"/>
        <i val="0"/>
        <strike val="0"/>
        <condense val="0"/>
        <extend val="0"/>
        <outline val="0"/>
        <shadow val="0"/>
        <u val="none"/>
        <vertAlign val="baseline"/>
        <sz val="11"/>
        <color theme="1"/>
        <name val="Aptos Narrow"/>
        <family val="2"/>
        <scheme val="minor"/>
      </font>
      <numFmt numFmtId="166" formatCode="0.0"/>
      <alignment horizontal="center" vertical="center" textRotation="0" wrapText="0" indent="0" justifyLastLine="0" shrinkToFit="0" readingOrder="0"/>
      <border diagonalUp="0" diagonalDown="0" outline="0">
        <left style="thin">
          <color theme="0" tint="-0.14993743705557422"/>
        </left>
        <right style="thin">
          <color theme="0" tint="-0.14993743705557422"/>
        </right>
        <top style="thin">
          <color theme="0" tint="-0.14993743705557422"/>
        </top>
        <bottom/>
      </border>
    </dxf>
    <dxf>
      <font>
        <b val="0"/>
        <i val="0"/>
        <strike val="0"/>
        <condense val="0"/>
        <extend val="0"/>
        <outline val="0"/>
        <shadow val="0"/>
        <u val="none"/>
        <vertAlign val="baseline"/>
        <sz val="11"/>
        <color theme="1"/>
        <name val="Aptos Narrow"/>
        <family val="2"/>
        <scheme val="minor"/>
      </font>
      <numFmt numFmtId="166" formatCode="0.0"/>
      <alignment horizontal="center" vertical="center" textRotation="0" wrapText="0" indent="0" justifyLastLine="0" shrinkToFit="0" readingOrder="0"/>
      <border diagonalUp="0" diagonalDown="0" outline="0">
        <left style="thin">
          <color theme="0" tint="-0.14993743705557422"/>
        </left>
        <right style="thin">
          <color theme="0" tint="-0.14993743705557422"/>
        </right>
        <top style="thin">
          <color theme="0" tint="-0.14993743705557422"/>
        </top>
        <bottom/>
      </border>
    </dxf>
    <dxf>
      <font>
        <b val="0"/>
        <i val="0"/>
        <strike val="0"/>
        <condense val="0"/>
        <extend val="0"/>
        <outline val="0"/>
        <shadow val="0"/>
        <u val="none"/>
        <vertAlign val="baseline"/>
        <sz val="11"/>
        <color theme="1"/>
        <name val="Aptos Narrow"/>
        <family val="2"/>
        <scheme val="minor"/>
      </font>
      <numFmt numFmtId="166" formatCode="0.0"/>
      <alignment horizontal="center" vertical="center" textRotation="0" wrapText="0" indent="0" justifyLastLine="0" shrinkToFit="0" readingOrder="0"/>
      <border diagonalUp="0" diagonalDown="0" outline="0">
        <left style="thin">
          <color theme="0" tint="-0.14993743705557422"/>
        </left>
        <right style="thin">
          <color theme="0" tint="-0.14993743705557422"/>
        </right>
        <top style="thin">
          <color theme="0" tint="-0.14993743705557422"/>
        </top>
        <bottom/>
      </border>
    </dxf>
    <dxf>
      <font>
        <b val="0"/>
        <i val="0"/>
        <strike val="0"/>
        <condense val="0"/>
        <extend val="0"/>
        <outline val="0"/>
        <shadow val="0"/>
        <u val="none"/>
        <vertAlign val="baseline"/>
        <sz val="11"/>
        <color theme="1"/>
        <name val="Aptos Narrow"/>
        <family val="2"/>
        <scheme val="minor"/>
      </font>
      <numFmt numFmtId="166" formatCode="0.0"/>
      <alignment horizontal="center" vertical="center" textRotation="0" wrapText="0" indent="0" justifyLastLine="0" shrinkToFit="0" readingOrder="0"/>
      <border diagonalUp="0" diagonalDown="0" outline="0">
        <left style="thin">
          <color theme="0" tint="-0.14993743705557422"/>
        </left>
        <right style="thin">
          <color theme="0" tint="-0.14993743705557422"/>
        </right>
        <top style="thin">
          <color theme="0" tint="-0.14993743705557422"/>
        </top>
        <bottom/>
      </border>
    </dxf>
    <dxf>
      <font>
        <b val="0"/>
        <i val="0"/>
        <strike val="0"/>
        <condense val="0"/>
        <extend val="0"/>
        <outline val="0"/>
        <shadow val="0"/>
        <u val="none"/>
        <vertAlign val="baseline"/>
        <sz val="11"/>
        <color theme="1"/>
        <name val="Aptos Narrow"/>
        <family val="2"/>
        <scheme val="minor"/>
      </font>
      <numFmt numFmtId="166" formatCode="0.0"/>
      <alignment horizontal="center" vertical="center" textRotation="0" wrapText="0" indent="0" justifyLastLine="0" shrinkToFit="0" readingOrder="0"/>
      <border diagonalUp="0" diagonalDown="0" outline="0">
        <left style="medium">
          <color auto="1"/>
        </left>
        <right style="thin">
          <color theme="0" tint="-0.14993743705557422"/>
        </right>
        <top style="thin">
          <color theme="0" tint="-0.14993743705557422"/>
        </top>
        <bottom/>
      </border>
    </dxf>
    <dxf>
      <font>
        <b val="0"/>
        <i val="0"/>
        <strike val="0"/>
        <condense val="0"/>
        <extend val="0"/>
        <outline val="0"/>
        <shadow val="0"/>
        <u val="none"/>
        <vertAlign val="baseline"/>
        <sz val="11"/>
        <color theme="1"/>
        <name val="Aptos Narrow"/>
        <family val="2"/>
        <scheme val="minor"/>
      </font>
      <numFmt numFmtId="166" formatCode="0.0"/>
      <alignment horizontal="center" vertical="center" textRotation="0" wrapText="0" indent="0" justifyLastLine="0" shrinkToFit="0" readingOrder="0"/>
      <border diagonalUp="0" diagonalDown="0" outline="0">
        <left style="thin">
          <color theme="0" tint="-0.14993743705557422"/>
        </left>
        <right/>
        <top style="thin">
          <color theme="0" tint="-0.14993743705557422"/>
        </top>
        <bottom/>
      </border>
    </dxf>
    <dxf>
      <font>
        <b val="0"/>
        <i val="0"/>
        <strike val="0"/>
        <condense val="0"/>
        <extend val="0"/>
        <outline val="0"/>
        <shadow val="0"/>
        <u val="none"/>
        <vertAlign val="baseline"/>
        <sz val="11"/>
        <color theme="1"/>
        <name val="Aptos Narrow"/>
        <family val="2"/>
        <scheme val="minor"/>
      </font>
      <numFmt numFmtId="166" formatCode="0.0"/>
      <alignment horizontal="center" vertical="center" textRotation="0" wrapText="0" indent="0" justifyLastLine="0" shrinkToFit="0" readingOrder="0"/>
      <border diagonalUp="0" diagonalDown="0" outline="0">
        <left style="thin">
          <color theme="0" tint="-0.14993743705557422"/>
        </left>
        <right style="thin">
          <color theme="0" tint="-0.14993743705557422"/>
        </right>
        <top style="thin">
          <color theme="0" tint="-0.14993743705557422"/>
        </top>
        <bottom/>
      </border>
    </dxf>
    <dxf>
      <font>
        <b val="0"/>
        <i val="0"/>
        <strike val="0"/>
        <condense val="0"/>
        <extend val="0"/>
        <outline val="0"/>
        <shadow val="0"/>
        <u val="none"/>
        <vertAlign val="baseline"/>
        <sz val="11"/>
        <color theme="1"/>
        <name val="Aptos Narrow"/>
        <family val="2"/>
        <scheme val="minor"/>
      </font>
      <numFmt numFmtId="166" formatCode="0.0"/>
      <alignment horizontal="center" vertical="center" textRotation="0" wrapText="0" indent="0" justifyLastLine="0" shrinkToFit="0" readingOrder="0"/>
      <border diagonalUp="0" diagonalDown="0" outline="0">
        <left style="thin">
          <color theme="0" tint="-0.14993743705557422"/>
        </left>
        <right style="thin">
          <color theme="0" tint="-0.14993743705557422"/>
        </right>
        <top style="thin">
          <color theme="0" tint="-0.14993743705557422"/>
        </top>
        <bottom/>
      </border>
    </dxf>
    <dxf>
      <font>
        <b val="0"/>
        <i val="0"/>
        <strike val="0"/>
        <condense val="0"/>
        <extend val="0"/>
        <outline val="0"/>
        <shadow val="0"/>
        <u val="none"/>
        <vertAlign val="baseline"/>
        <sz val="11"/>
        <color theme="1"/>
        <name val="Aptos Narrow"/>
        <family val="2"/>
        <scheme val="minor"/>
      </font>
      <numFmt numFmtId="166" formatCode="0.0"/>
      <alignment horizontal="center" vertical="center" textRotation="0" wrapText="0" indent="0" justifyLastLine="0" shrinkToFit="0" readingOrder="0"/>
      <border diagonalUp="0" diagonalDown="0" outline="0">
        <left style="thin">
          <color theme="0" tint="-0.14993743705557422"/>
        </left>
        <right style="thin">
          <color theme="0" tint="-0.14993743705557422"/>
        </right>
        <top style="thin">
          <color theme="0" tint="-0.14993743705557422"/>
        </top>
        <bottom/>
      </border>
    </dxf>
    <dxf>
      <font>
        <b val="0"/>
        <i val="0"/>
        <strike val="0"/>
        <condense val="0"/>
        <extend val="0"/>
        <outline val="0"/>
        <shadow val="0"/>
        <u val="none"/>
        <vertAlign val="baseline"/>
        <sz val="11"/>
        <color theme="1"/>
        <name val="Aptos Narrow"/>
        <family val="2"/>
        <scheme val="minor"/>
      </font>
      <numFmt numFmtId="166" formatCode="0.0"/>
      <alignment horizontal="center" vertical="center" textRotation="0" wrapText="0" indent="0" justifyLastLine="0" shrinkToFit="0" readingOrder="0"/>
      <border diagonalUp="0" diagonalDown="0" outline="0">
        <left/>
        <right style="thin">
          <color theme="0" tint="-0.14993743705557422"/>
        </right>
        <top style="thin">
          <color theme="0" tint="-0.14993743705557422"/>
        </top>
        <bottom/>
      </border>
    </dxf>
    <dxf>
      <font>
        <b val="0"/>
        <i val="0"/>
        <strike val="0"/>
        <condense val="0"/>
        <extend val="0"/>
        <outline val="0"/>
        <shadow val="0"/>
        <u val="none"/>
        <vertAlign val="baseline"/>
        <sz val="11"/>
        <color theme="1"/>
        <name val="Aptos Narrow"/>
        <family val="2"/>
        <scheme val="minor"/>
      </font>
      <numFmt numFmtId="166" formatCode="0.0"/>
      <alignment horizontal="center" vertical="center" textRotation="0" wrapText="0" indent="0" justifyLastLine="0" shrinkToFit="0" readingOrder="0"/>
      <border diagonalUp="0" diagonalDown="0" outline="0">
        <left style="medium">
          <color auto="1"/>
        </left>
        <right style="thin">
          <color theme="0" tint="-0.14993743705557422"/>
        </right>
        <top style="thin">
          <color theme="0" tint="-0.14993743705557422"/>
        </top>
        <bottom/>
      </border>
    </dxf>
    <dxf>
      <font>
        <b val="0"/>
        <i val="0"/>
        <strike val="0"/>
        <condense val="0"/>
        <extend val="0"/>
        <outline val="0"/>
        <shadow val="0"/>
        <u val="none"/>
        <vertAlign val="baseline"/>
        <sz val="11"/>
        <color theme="1"/>
        <name val="Aptos Narrow"/>
        <family val="2"/>
        <scheme val="minor"/>
      </font>
      <numFmt numFmtId="2" formatCode="0.00"/>
      <alignment horizontal="center" vertical="center" textRotation="0" wrapText="0" indent="0" justifyLastLine="0" shrinkToFit="0" readingOrder="0"/>
      <border diagonalUp="0" diagonalDown="0">
        <left style="thin">
          <color theme="0" tint="-0.14993743705557422"/>
        </left>
        <right/>
        <top style="thin">
          <color theme="0" tint="-0.14993743705557422"/>
        </top>
        <bottom style="thin">
          <color theme="0" tint="-0.14993743705557422"/>
        </bottom>
        <vertical/>
        <horizontal/>
      </border>
    </dxf>
    <dxf>
      <font>
        <b val="0"/>
        <i val="0"/>
        <strike val="0"/>
        <condense val="0"/>
        <extend val="0"/>
        <outline val="0"/>
        <shadow val="0"/>
        <u val="none"/>
        <vertAlign val="baseline"/>
        <sz val="11"/>
        <color theme="1"/>
        <name val="Aptos Narrow"/>
        <family val="2"/>
        <scheme val="minor"/>
      </font>
      <numFmt numFmtId="2" formatCode="0.00"/>
      <alignment horizontal="center" vertical="center" textRotation="0" wrapText="0" indent="0" justifyLastLine="0" shrinkToFit="0" readingOrder="0"/>
      <border diagonalUp="0" diagonalDown="0">
        <left style="thin">
          <color theme="0" tint="-0.14993743705557422"/>
        </left>
        <right style="thin">
          <color theme="0" tint="-0.14993743705557422"/>
        </right>
        <top style="thin">
          <color theme="0" tint="-0.14993743705557422"/>
        </top>
        <bottom style="thin">
          <color theme="0" tint="-0.14993743705557422"/>
        </bottom>
        <vertical/>
        <horizontal/>
      </border>
    </dxf>
    <dxf>
      <font>
        <b val="0"/>
        <i val="0"/>
        <strike val="0"/>
        <condense val="0"/>
        <extend val="0"/>
        <outline val="0"/>
        <shadow val="0"/>
        <u val="none"/>
        <vertAlign val="baseline"/>
        <sz val="11"/>
        <color theme="1"/>
        <name val="Aptos Narrow"/>
        <family val="2"/>
        <scheme val="minor"/>
      </font>
      <numFmt numFmtId="2" formatCode="0.00"/>
      <alignment horizontal="center" vertical="center" textRotation="0" wrapText="0" indent="0" justifyLastLine="0" shrinkToFit="0" readingOrder="0"/>
      <border diagonalUp="0" diagonalDown="0">
        <left style="thin">
          <color theme="0" tint="-0.14993743705557422"/>
        </left>
        <right style="thin">
          <color theme="0" tint="-0.14993743705557422"/>
        </right>
        <top style="thin">
          <color theme="0" tint="-0.14993743705557422"/>
        </top>
        <bottom style="thin">
          <color theme="0" tint="-0.14993743705557422"/>
        </bottom>
        <vertical/>
        <horizontal/>
      </border>
    </dxf>
    <dxf>
      <font>
        <b val="0"/>
        <i val="0"/>
        <strike val="0"/>
        <condense val="0"/>
        <extend val="0"/>
        <outline val="0"/>
        <shadow val="0"/>
        <u val="none"/>
        <vertAlign val="baseline"/>
        <sz val="11"/>
        <color theme="1"/>
        <name val="Aptos Narrow"/>
        <family val="2"/>
        <scheme val="minor"/>
      </font>
      <numFmt numFmtId="2" formatCode="0.00"/>
      <alignment horizontal="center" vertical="center" textRotation="0" wrapText="0" indent="0" justifyLastLine="0" shrinkToFit="0" readingOrder="0"/>
      <border diagonalUp="0" diagonalDown="0">
        <left style="thin">
          <color theme="0" tint="-0.14993743705557422"/>
        </left>
        <right style="thin">
          <color theme="0" tint="-0.14993743705557422"/>
        </right>
        <top style="thin">
          <color theme="0" tint="-0.14993743705557422"/>
        </top>
        <bottom style="thin">
          <color theme="0" tint="-0.14993743705557422"/>
        </bottom>
        <vertical/>
        <horizontal/>
      </border>
    </dxf>
    <dxf>
      <font>
        <b val="0"/>
        <i val="0"/>
        <strike val="0"/>
        <condense val="0"/>
        <extend val="0"/>
        <outline val="0"/>
        <shadow val="0"/>
        <u val="none"/>
        <vertAlign val="baseline"/>
        <sz val="11"/>
        <color theme="1"/>
        <name val="Aptos Narrow"/>
        <family val="2"/>
        <scheme val="minor"/>
      </font>
      <numFmt numFmtId="2" formatCode="0.00"/>
      <alignment horizontal="center" vertical="center" textRotation="0" wrapText="0" indent="0" justifyLastLine="0" shrinkToFit="0" readingOrder="0"/>
      <border diagonalUp="0" diagonalDown="0">
        <left style="thin">
          <color theme="0" tint="-0.14993743705557422"/>
        </left>
        <right style="thin">
          <color theme="0" tint="-0.14993743705557422"/>
        </right>
        <top style="thin">
          <color theme="0" tint="-0.14993743705557422"/>
        </top>
        <bottom style="thin">
          <color theme="0" tint="-0.14993743705557422"/>
        </bottom>
        <vertical/>
        <horizontal/>
      </border>
    </dxf>
    <dxf>
      <font>
        <b val="0"/>
        <i val="0"/>
        <strike val="0"/>
        <condense val="0"/>
        <extend val="0"/>
        <outline val="0"/>
        <shadow val="0"/>
        <u val="none"/>
        <vertAlign val="baseline"/>
        <sz val="11"/>
        <color theme="1"/>
        <name val="Aptos Narrow"/>
        <family val="2"/>
        <scheme val="minor"/>
      </font>
      <numFmt numFmtId="2" formatCode="0.00"/>
      <alignment horizontal="center" vertical="center" textRotation="0" wrapText="0" indent="0" justifyLastLine="0" shrinkToFit="0" readingOrder="0"/>
      <border diagonalUp="0" diagonalDown="0">
        <left style="medium">
          <color auto="1"/>
        </left>
        <right style="thin">
          <color theme="0" tint="-0.14993743705557422"/>
        </right>
        <top style="thin">
          <color theme="0" tint="-0.14993743705557422"/>
        </top>
        <bottom style="thin">
          <color theme="0" tint="-0.14993743705557422"/>
        </bottom>
        <vertical/>
        <horizontal/>
      </border>
    </dxf>
    <dxf>
      <font>
        <b val="0"/>
        <i val="0"/>
        <strike val="0"/>
        <condense val="0"/>
        <extend val="0"/>
        <outline val="0"/>
        <shadow val="0"/>
        <u val="none"/>
        <vertAlign val="baseline"/>
        <sz val="11"/>
        <color theme="1"/>
        <name val="Aptos Narrow"/>
        <family val="2"/>
        <scheme val="minor"/>
      </font>
      <numFmt numFmtId="164" formatCode="#,##0.00;\-#,##0.00;\-"/>
      <alignment horizontal="center" vertical="center" textRotation="0" wrapText="0" indent="0" justifyLastLine="0" shrinkToFit="0" readingOrder="0"/>
      <border diagonalUp="0" diagonalDown="0">
        <left style="thin">
          <color theme="0" tint="-0.14993743705557422"/>
        </left>
        <right style="thin">
          <color theme="0" tint="-0.14993743705557422"/>
        </right>
        <top style="thin">
          <color theme="0" tint="-0.14993743705557422"/>
        </top>
        <bottom style="thin">
          <color theme="0" tint="-0.14993743705557422"/>
        </bottom>
        <vertical/>
        <horizontal/>
      </border>
    </dxf>
    <dxf>
      <font>
        <b val="0"/>
        <i val="0"/>
        <strike val="0"/>
        <condense val="0"/>
        <extend val="0"/>
        <outline val="0"/>
        <shadow val="0"/>
        <u val="none"/>
        <vertAlign val="baseline"/>
        <sz val="11"/>
        <color theme="1"/>
        <name val="Aptos Narrow"/>
        <family val="2"/>
        <scheme val="minor"/>
      </font>
      <numFmt numFmtId="164" formatCode="#,##0.00;\-#,##0.00;\-"/>
      <alignment horizontal="center" vertical="center" textRotation="0" wrapText="0" indent="0" justifyLastLine="0" shrinkToFit="0" readingOrder="0"/>
      <border diagonalUp="0" diagonalDown="0">
        <left style="thin">
          <color theme="0" tint="-0.14993743705557422"/>
        </left>
        <right style="thin">
          <color theme="0" tint="-0.14993743705557422"/>
        </right>
        <top style="thin">
          <color theme="0" tint="-0.14993743705557422"/>
        </top>
        <bottom style="thin">
          <color theme="0" tint="-0.14993743705557422"/>
        </bottom>
        <vertical/>
        <horizontal/>
      </border>
    </dxf>
    <dxf>
      <font>
        <b val="0"/>
        <i val="0"/>
        <strike val="0"/>
        <condense val="0"/>
        <extend val="0"/>
        <outline val="0"/>
        <shadow val="0"/>
        <u val="none"/>
        <vertAlign val="baseline"/>
        <sz val="11"/>
        <color theme="1"/>
        <name val="Aptos Narrow"/>
        <family val="2"/>
        <scheme val="minor"/>
      </font>
      <numFmt numFmtId="164" formatCode="#,##0.00;\-#,##0.00;\-"/>
      <alignment horizontal="center" vertical="center" textRotation="0" wrapText="0" indent="0" justifyLastLine="0" shrinkToFit="0" readingOrder="0"/>
      <border diagonalUp="0" diagonalDown="0">
        <left style="thin">
          <color theme="0" tint="-0.14993743705557422"/>
        </left>
        <right style="thin">
          <color theme="0" tint="-0.14993743705557422"/>
        </right>
        <top style="thin">
          <color theme="0" tint="-0.14993743705557422"/>
        </top>
        <bottom style="thin">
          <color theme="0" tint="-0.14993743705557422"/>
        </bottom>
        <vertical/>
        <horizontal/>
      </border>
    </dxf>
    <dxf>
      <font>
        <b val="0"/>
        <i val="0"/>
        <strike val="0"/>
        <condense val="0"/>
        <extend val="0"/>
        <outline val="0"/>
        <shadow val="0"/>
        <u val="none"/>
        <vertAlign val="baseline"/>
        <sz val="11"/>
        <color theme="1"/>
        <name val="Aptos Narrow"/>
        <family val="2"/>
        <scheme val="minor"/>
      </font>
      <numFmt numFmtId="164" formatCode="#,##0.00;\-#,##0.00;\-"/>
      <alignment horizontal="center" vertical="center" textRotation="0" wrapText="0" indent="0" justifyLastLine="0" shrinkToFit="0" readingOrder="0"/>
      <border diagonalUp="0" diagonalDown="0">
        <left style="thin">
          <color theme="0" tint="-0.14993743705557422"/>
        </left>
        <right style="thin">
          <color theme="0" tint="-0.14993743705557422"/>
        </right>
        <top style="thin">
          <color theme="0" tint="-0.14993743705557422"/>
        </top>
        <bottom style="thin">
          <color theme="0" tint="-0.14993743705557422"/>
        </bottom>
        <vertical/>
        <horizontal/>
      </border>
    </dxf>
    <dxf>
      <font>
        <b val="0"/>
        <i val="0"/>
        <strike val="0"/>
        <condense val="0"/>
        <extend val="0"/>
        <outline val="0"/>
        <shadow val="0"/>
        <u val="none"/>
        <vertAlign val="baseline"/>
        <sz val="11"/>
        <color theme="1"/>
        <name val="Aptos Narrow"/>
        <family val="2"/>
        <scheme val="minor"/>
      </font>
      <numFmt numFmtId="164" formatCode="#,##0.00;\-#,##0.00;\-"/>
      <alignment horizontal="center" vertical="center" textRotation="0" wrapText="0" indent="0" justifyLastLine="0" shrinkToFit="0" readingOrder="0"/>
      <border diagonalUp="0" diagonalDown="0">
        <left/>
        <right style="thin">
          <color theme="0" tint="-0.14993743705557422"/>
        </right>
        <top style="thin">
          <color theme="0" tint="-0.14993743705557422"/>
        </top>
        <bottom style="thin">
          <color theme="0" tint="-0.14993743705557422"/>
        </bottom>
        <vertical/>
        <horizontal/>
      </border>
    </dxf>
    <dxf>
      <font>
        <b val="0"/>
        <i val="0"/>
        <strike val="0"/>
        <condense val="0"/>
        <extend val="0"/>
        <outline val="0"/>
        <shadow val="0"/>
        <u val="none"/>
        <vertAlign val="baseline"/>
        <sz val="11"/>
        <color theme="1"/>
        <name val="Aptos Narrow"/>
        <family val="2"/>
        <scheme val="minor"/>
      </font>
      <numFmt numFmtId="164" formatCode="#,##0.00;\-#,##0.00;\-"/>
      <alignment horizontal="center" vertical="center" textRotation="0" wrapText="0" indent="0" justifyLastLine="0" shrinkToFit="0" readingOrder="0"/>
      <border diagonalUp="0" diagonalDown="0">
        <left style="medium">
          <color auto="1"/>
        </left>
        <right style="thin">
          <color theme="0" tint="-0.14993743705557422"/>
        </right>
        <top style="thin">
          <color theme="0" tint="-0.14993743705557422"/>
        </top>
        <bottom style="thin">
          <color theme="0" tint="-0.14993743705557422"/>
        </bottom>
        <vertical/>
        <horizontal/>
      </border>
    </dxf>
    <dxf>
      <numFmt numFmtId="4" formatCode="#,##0.00"/>
      <alignment horizontal="center" vertical="center" textRotation="0" wrapText="0" indent="0" justifyLastLine="0" shrinkToFit="0" readingOrder="0"/>
      <border diagonalUp="0" diagonalDown="0">
        <left style="medium">
          <color auto="1"/>
        </left>
        <right/>
        <top style="thin">
          <color theme="0" tint="-0.14993743705557422"/>
        </top>
        <bottom style="thin">
          <color theme="0" tint="-0.14993743705557422"/>
        </bottom>
        <vertical/>
        <horizontal/>
      </border>
    </dxf>
    <dxf>
      <alignment horizontal="general" vertical="center" textRotation="0" wrapText="0" indent="0" justifyLastLine="0" shrinkToFit="0" readingOrder="0"/>
      <border diagonalUp="0" diagonalDown="0">
        <left style="medium">
          <color auto="1"/>
        </left>
        <right style="medium">
          <color auto="1"/>
        </right>
        <top style="thin">
          <color theme="0" tint="-0.14993743705557422"/>
        </top>
        <bottom style="thin">
          <color theme="0" tint="-0.14993743705557422"/>
        </bottom>
        <vertical/>
        <horizontal/>
      </border>
    </dxf>
    <dxf>
      <border outline="0">
        <right style="medium">
          <color auto="1"/>
        </right>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i val="0"/>
        <strike val="0"/>
        <condense val="0"/>
        <extend val="0"/>
        <outline val="0"/>
        <shadow val="0"/>
        <u val="none"/>
        <vertAlign val="baseline"/>
        <sz val="10"/>
        <color theme="0"/>
        <name val="Bahnschrift"/>
        <family val="2"/>
        <scheme val="none"/>
      </font>
      <numFmt numFmtId="164" formatCode="#,##0.00;\-#,##0.00;\-"/>
      <fill>
        <patternFill patternType="solid">
          <fgColor indexed="64"/>
          <bgColor rgb="FF1F497D"/>
        </patternFill>
      </fill>
      <alignment horizontal="center" vertical="center" textRotation="0" wrapText="1" indent="0" justifyLastLine="0" shrinkToFit="0" readingOrder="0"/>
    </dxf>
    <dxf>
      <numFmt numFmtId="4" formatCode="#,##0.00"/>
      <alignment horizontal="center" vertical="center" textRotation="0" wrapText="0" indent="0" justifyLastLine="0" shrinkToFit="0" readingOrder="0"/>
      <border diagonalUp="0" diagonalDown="0">
        <left style="medium">
          <color auto="1"/>
        </left>
        <right/>
        <top style="thin">
          <color theme="0" tint="-0.14993743705557422"/>
        </top>
        <bottom/>
        <vertical/>
        <horizontal/>
      </border>
    </dxf>
    <dxf>
      <alignment horizontal="general" vertical="center" textRotation="0" wrapText="0" indent="0" justifyLastLine="0" shrinkToFit="0" readingOrder="0"/>
      <border diagonalUp="0" diagonalDown="0">
        <left style="medium">
          <color auto="1"/>
        </left>
        <right style="medium">
          <color auto="1"/>
        </right>
        <top style="thin">
          <color theme="0" tint="-0.14993743705557422"/>
        </top>
        <bottom/>
        <vertical/>
        <horizontal/>
      </border>
    </dxf>
    <dxf>
      <border outline="0">
        <right style="medium">
          <color auto="1"/>
        </right>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i val="0"/>
        <strike val="0"/>
        <condense val="0"/>
        <extend val="0"/>
        <outline val="0"/>
        <shadow val="0"/>
        <u val="none"/>
        <vertAlign val="baseline"/>
        <sz val="10"/>
        <color theme="0"/>
        <name val="Bahnschrift"/>
        <family val="2"/>
        <scheme val="none"/>
      </font>
      <numFmt numFmtId="164" formatCode="#,##0.00;\-#,##0.00;\-"/>
      <fill>
        <patternFill patternType="solid">
          <fgColor indexed="64"/>
          <bgColor rgb="FF1F497D"/>
        </patternFill>
      </fill>
      <alignment horizontal="center" vertical="center" textRotation="0" wrapText="1" indent="0" justifyLastLine="0" shrinkToFit="0" readingOrder="0"/>
    </dxf>
    <dxf>
      <numFmt numFmtId="4" formatCode="#,##0.00"/>
      <alignment horizontal="center" vertical="center" textRotation="0" wrapText="0" indent="0" justifyLastLine="0" shrinkToFit="0" readingOrder="0"/>
      <border diagonalUp="0" diagonalDown="0">
        <left style="medium">
          <color auto="1"/>
        </left>
        <right/>
        <top style="thin">
          <color theme="0" tint="-0.14993743705557422"/>
        </top>
        <bottom style="thin">
          <color theme="0" tint="-0.14993743705557422"/>
        </bottom>
        <vertical/>
        <horizontal/>
      </border>
    </dxf>
    <dxf>
      <alignment horizontal="general" vertical="center" textRotation="0" wrapText="0" indent="0" justifyLastLine="0" shrinkToFit="0" readingOrder="0"/>
      <border diagonalUp="0" diagonalDown="0">
        <left style="medium">
          <color auto="1"/>
        </left>
        <right style="medium">
          <color auto="1"/>
        </right>
        <top style="thin">
          <color theme="0" tint="-0.14993743705557422"/>
        </top>
        <bottom style="thin">
          <color theme="0" tint="-0.14993743705557422"/>
        </bottom>
        <vertical/>
        <horizontal/>
      </border>
    </dxf>
    <dxf>
      <border outline="0">
        <right style="medium">
          <color auto="1"/>
        </right>
        <top style="medium">
          <color auto="1"/>
        </top>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i val="0"/>
        <strike val="0"/>
        <condense val="0"/>
        <extend val="0"/>
        <outline val="0"/>
        <shadow val="0"/>
        <u val="none"/>
        <vertAlign val="baseline"/>
        <sz val="10"/>
        <color theme="0"/>
        <name val="Bahnschrift"/>
        <family val="2"/>
        <scheme val="none"/>
      </font>
      <numFmt numFmtId="164" formatCode="#,##0.00;\-#,##0.00;\-"/>
      <fill>
        <patternFill patternType="solid">
          <fgColor indexed="64"/>
          <bgColor rgb="FF1F497D"/>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border diagonalUp="0" diagonalDown="0">
        <left style="medium">
          <color auto="1"/>
        </left>
        <right style="medium">
          <color auto="1"/>
        </right>
        <top style="thin">
          <color rgb="FFD9D9D9"/>
        </top>
        <bottom style="thin">
          <color rgb="FFD9D9D9"/>
        </bottom>
        <vertical/>
        <horizontal/>
      </border>
    </dxf>
    <dxf>
      <border outline="0">
        <top style="medium">
          <color auto="1"/>
        </top>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0"/>
        <color rgb="FFFFFFFF"/>
        <name val="Bahnschrift"/>
        <family val="2"/>
        <scheme val="none"/>
      </font>
      <numFmt numFmtId="164" formatCode="#,##0.00;\-#,##0.00;\-"/>
      <fill>
        <patternFill patternType="solid">
          <fgColor rgb="FF000000"/>
          <bgColor rgb="FF1F497D"/>
        </patternFill>
      </fill>
      <alignment horizontal="center" vertical="center" textRotation="0" wrapText="1" indent="0" justifyLastLine="0" shrinkToFit="0" readingOrder="0"/>
    </dxf>
    <dxf>
      <alignment horizontal="general" vertical="center" textRotation="0" wrapText="0" indent="0" justifyLastLine="0" shrinkToFit="0" readingOrder="0"/>
      <border diagonalUp="0" diagonalDown="0" outline="0">
        <left/>
        <right/>
        <top style="thin">
          <color rgb="FFD9D9D9"/>
        </top>
        <bottom/>
      </border>
    </dxf>
    <dxf>
      <font>
        <b val="0"/>
        <i val="0"/>
        <strike val="0"/>
        <condense val="0"/>
        <extend val="0"/>
        <outline val="0"/>
        <shadow val="0"/>
        <u val="none"/>
        <vertAlign val="baseline"/>
        <sz val="11"/>
        <color rgb="FF000000"/>
        <name val="Calibri"/>
        <family val="2"/>
        <scheme val="none"/>
      </font>
      <numFmt numFmtId="30" formatCode="@"/>
      <fill>
        <patternFill patternType="none">
          <fgColor rgb="FF000000"/>
          <bgColor auto="1"/>
        </patternFill>
      </fill>
      <alignment horizontal="general" vertical="center" textRotation="0" wrapText="0" indent="0" justifyLastLine="0" shrinkToFit="0" readingOrder="0"/>
      <border diagonalUp="0" diagonalDown="0">
        <left style="medium">
          <color auto="1"/>
        </left>
        <right/>
        <top/>
        <bottom/>
      </border>
    </dxf>
    <dxf>
      <border outline="0">
        <right style="medium">
          <color auto="1"/>
        </right>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0"/>
        <color rgb="FFFFFFFF"/>
        <name val="Bahnschrift"/>
        <family val="2"/>
        <scheme val="none"/>
      </font>
      <numFmt numFmtId="164" formatCode="#,##0.00;\-#,##0.00;\-"/>
      <fill>
        <patternFill patternType="solid">
          <fgColor rgb="FF000000"/>
          <bgColor rgb="FF1F497D"/>
        </patternFill>
      </fill>
      <alignment horizontal="center" vertical="center" textRotation="0" wrapText="1" indent="0" justifyLastLine="0" shrinkToFit="0" readingOrder="0"/>
    </dxf>
    <dxf>
      <fill>
        <patternFill patternType="solid">
          <fgColor rgb="FFEDEDED"/>
          <bgColor rgb="FFEDEDED"/>
        </patternFill>
      </fill>
    </dxf>
    <dxf>
      <fill>
        <patternFill patternType="solid">
          <fgColor rgb="FFEDEDED"/>
          <bgColor rgb="FFEDEDED"/>
        </patternFill>
      </fill>
    </dxf>
    <dxf>
      <font>
        <b/>
        <color rgb="FF000000"/>
      </font>
    </dxf>
    <dxf>
      <font>
        <b/>
        <color rgb="FF000000"/>
      </font>
    </dxf>
    <dxf>
      <font>
        <b/>
        <color rgb="FF000000"/>
      </font>
      <border>
        <top style="double">
          <color rgb="FFA5A5A5"/>
        </top>
      </border>
    </dxf>
    <dxf>
      <font>
        <b/>
        <color rgb="FFFFFFFF"/>
      </font>
      <fill>
        <patternFill patternType="solid">
          <fgColor rgb="FFA5A5A5"/>
          <bgColor rgb="FFA5A5A5"/>
        </patternFill>
      </fill>
    </dxf>
    <dxf>
      <font>
        <color rgb="FF000000"/>
      </font>
      <border>
        <left style="thin">
          <color rgb="FFC9C9C9"/>
        </left>
        <right style="thin">
          <color rgb="FFC9C9C9"/>
        </right>
        <top style="thin">
          <color rgb="FFC9C9C9"/>
        </top>
        <bottom style="thin">
          <color rgb="FFC9C9C9"/>
        </bottom>
        <horizontal style="thin">
          <color rgb="FFC9C9C9"/>
        </horizontal>
      </border>
    </dxf>
  </dxfs>
  <tableStyles count="1" defaultTableStyle="TableStyleMedium2" defaultPivotStyle="PivotStyleLight16">
    <tableStyle name="TableStyleMedium4 2" pivot="0" count="7" xr9:uid="{EDD40002-24A5-4058-94C5-A8FE50E65C2F}">
      <tableStyleElement type="wholeTable" dxfId="99"/>
      <tableStyleElement type="headerRow" dxfId="98"/>
      <tableStyleElement type="totalRow" dxfId="97"/>
      <tableStyleElement type="firstColumn" dxfId="96"/>
      <tableStyleElement type="lastColumn" dxfId="95"/>
      <tableStyleElement type="firstRowStripe" dxfId="94"/>
      <tableStyleElement type="firstColumnStripe" dxfId="9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[Analysis.xlsx]Top 10 Funds!PivotTable8</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10 Funds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Funds'!$B$3</c:f>
              <c:strCache>
                <c:ptCount val="1"/>
                <c:pt idx="0">
                  <c:v>Average of 3 Years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10 Funds'!$A$4:$A$14</c:f>
              <c:strCache>
                <c:ptCount val="10"/>
                <c:pt idx="0">
                  <c:v>WhiteOak Capital Mid Cap Fund Direct Growth</c:v>
                </c:pt>
                <c:pt idx="1">
                  <c:v>ITI Mid Cap Fund Direct Growth</c:v>
                </c:pt>
                <c:pt idx="2">
                  <c:v>Mahindra Manulife Small Cap Fund Direct Growth</c:v>
                </c:pt>
                <c:pt idx="3">
                  <c:v>ITI Small Cap Fund Direct Growth</c:v>
                </c:pt>
                <c:pt idx="4">
                  <c:v>Invesco India Mid Cap Fund Direct Plan Growth Option</c:v>
                </c:pt>
                <c:pt idx="5">
                  <c:v>HDFC Mid Cap Fund 0Direct Plan 0 Growth Option</c:v>
                </c:pt>
                <c:pt idx="6">
                  <c:v>Edelweiss Mid Cap Fund Direct Plan Growth Option</c:v>
                </c:pt>
                <c:pt idx="7">
                  <c:v>Invesco India Smallcap Fund Direct Growth</c:v>
                </c:pt>
                <c:pt idx="8">
                  <c:v>Bandhan Small Cap Fund Direct Growth</c:v>
                </c:pt>
                <c:pt idx="9">
                  <c:v>Motilal Oswal Midcap Direct Growth</c:v>
                </c:pt>
              </c:strCache>
            </c:strRef>
          </c:cat>
          <c:val>
            <c:numRef>
              <c:f>'Top 10 Funds'!$B$4:$B$14</c:f>
              <c:numCache>
                <c:formatCode>0.0</c:formatCode>
                <c:ptCount val="10"/>
                <c:pt idx="0">
                  <c:v>28.428474999999999</c:v>
                </c:pt>
                <c:pt idx="1">
                  <c:v>27.079858999999999</c:v>
                </c:pt>
                <c:pt idx="2">
                  <c:v>27.639212000000001</c:v>
                </c:pt>
                <c:pt idx="3">
                  <c:v>28.105792999999998</c:v>
                </c:pt>
                <c:pt idx="4">
                  <c:v>29.044687</c:v>
                </c:pt>
                <c:pt idx="5">
                  <c:v>26.799876999999999</c:v>
                </c:pt>
                <c:pt idx="6">
                  <c:v>27.994109000000002</c:v>
                </c:pt>
                <c:pt idx="7">
                  <c:v>26.992428</c:v>
                </c:pt>
                <c:pt idx="8">
                  <c:v>32.144193000000001</c:v>
                </c:pt>
                <c:pt idx="9">
                  <c:v>27.202817</c:v>
                </c:pt>
              </c:numCache>
            </c:numRef>
          </c:val>
          <c:extLst>
            <c:ext xmlns:c16="http://schemas.microsoft.com/office/drawing/2014/chart" uri="{C3380CC4-5D6E-409C-BE32-E72D297353CC}">
              <c16:uniqueId val="{00000000-D942-4DBB-80B0-B05EEF28995E}"/>
            </c:ext>
          </c:extLst>
        </c:ser>
        <c:ser>
          <c:idx val="1"/>
          <c:order val="1"/>
          <c:tx>
            <c:strRef>
              <c:f>'Top 10 Funds'!$C$3</c:f>
              <c:strCache>
                <c:ptCount val="1"/>
                <c:pt idx="0">
                  <c:v>Average of 5 Years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10 Funds'!$A$4:$A$14</c:f>
              <c:strCache>
                <c:ptCount val="10"/>
                <c:pt idx="0">
                  <c:v>WhiteOak Capital Mid Cap Fund Direct Growth</c:v>
                </c:pt>
                <c:pt idx="1">
                  <c:v>ITI Mid Cap Fund Direct Growth</c:v>
                </c:pt>
                <c:pt idx="2">
                  <c:v>Mahindra Manulife Small Cap Fund Direct Growth</c:v>
                </c:pt>
                <c:pt idx="3">
                  <c:v>ITI Small Cap Fund Direct Growth</c:v>
                </c:pt>
                <c:pt idx="4">
                  <c:v>Invesco India Mid Cap Fund Direct Plan Growth Option</c:v>
                </c:pt>
                <c:pt idx="5">
                  <c:v>HDFC Mid Cap Fund 0Direct Plan 0 Growth Option</c:v>
                </c:pt>
                <c:pt idx="6">
                  <c:v>Edelweiss Mid Cap Fund Direct Plan Growth Option</c:v>
                </c:pt>
                <c:pt idx="7">
                  <c:v>Invesco India Smallcap Fund Direct Growth</c:v>
                </c:pt>
                <c:pt idx="8">
                  <c:v>Bandhan Small Cap Fund Direct Growth</c:v>
                </c:pt>
                <c:pt idx="9">
                  <c:v>Motilal Oswal Midcap Direct Growth</c:v>
                </c:pt>
              </c:strCache>
            </c:strRef>
          </c:cat>
          <c:val>
            <c:numRef>
              <c:f>'Top 10 Funds'!$C$4:$C$14</c:f>
              <c:numCache>
                <c:formatCode>0.0</c:formatCode>
                <c:ptCount val="10"/>
                <c:pt idx="0">
                  <c:v>0</c:v>
                </c:pt>
                <c:pt idx="1">
                  <c:v>0</c:v>
                </c:pt>
                <c:pt idx="2">
                  <c:v>0</c:v>
                </c:pt>
                <c:pt idx="3">
                  <c:v>22.554874000000002</c:v>
                </c:pt>
                <c:pt idx="4">
                  <c:v>25.969234</c:v>
                </c:pt>
                <c:pt idx="5">
                  <c:v>26.530083000000001</c:v>
                </c:pt>
                <c:pt idx="6">
                  <c:v>27.231686</c:v>
                </c:pt>
                <c:pt idx="7">
                  <c:v>27.783429000000002</c:v>
                </c:pt>
                <c:pt idx="8">
                  <c:v>27.817063999999998</c:v>
                </c:pt>
                <c:pt idx="9">
                  <c:v>29.452368</c:v>
                </c:pt>
              </c:numCache>
            </c:numRef>
          </c:val>
          <c:extLst>
            <c:ext xmlns:c16="http://schemas.microsoft.com/office/drawing/2014/chart" uri="{C3380CC4-5D6E-409C-BE32-E72D297353CC}">
              <c16:uniqueId val="{00000001-D942-4DBB-80B0-B05EEF28995E}"/>
            </c:ext>
          </c:extLst>
        </c:ser>
        <c:dLbls>
          <c:dLblPos val="inEnd"/>
          <c:showLegendKey val="0"/>
          <c:showVal val="1"/>
          <c:showCatName val="0"/>
          <c:showSerName val="0"/>
          <c:showPercent val="0"/>
          <c:showBubbleSize val="0"/>
        </c:dLbls>
        <c:gapWidth val="65"/>
        <c:axId val="1863671952"/>
        <c:axId val="1863672432"/>
      </c:barChart>
      <c:catAx>
        <c:axId val="186367195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63672432"/>
        <c:crosses val="autoZero"/>
        <c:auto val="1"/>
        <c:lblAlgn val="ctr"/>
        <c:lblOffset val="100"/>
        <c:noMultiLvlLbl val="0"/>
      </c:catAx>
      <c:valAx>
        <c:axId val="1863672432"/>
        <c:scaling>
          <c:orientation val="minMax"/>
        </c:scaling>
        <c:delete val="1"/>
        <c:axPos val="b"/>
        <c:numFmt formatCode="0.0" sourceLinked="1"/>
        <c:majorTickMark val="none"/>
        <c:minorTickMark val="none"/>
        <c:tickLblPos val="nextTo"/>
        <c:crossAx val="186367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[Analysis.xlsx]Average Returns by Category!PivotTable7</c:name>
    <c:fmtId val="0"/>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Returns by Category'!$B$3</c:f>
              <c:strCache>
                <c:ptCount val="1"/>
                <c:pt idx="0">
                  <c:v>Average of 1 Year</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Returns by Category'!$A$4:$A$8</c:f>
              <c:strCache>
                <c:ptCount val="5"/>
                <c:pt idx="0">
                  <c:v>Flexicap</c:v>
                </c:pt>
                <c:pt idx="1">
                  <c:v>Largecap</c:v>
                </c:pt>
                <c:pt idx="2">
                  <c:v>Midcap</c:v>
                </c:pt>
                <c:pt idx="3">
                  <c:v>Multicap</c:v>
                </c:pt>
                <c:pt idx="4">
                  <c:v>Smallcap</c:v>
                </c:pt>
              </c:strCache>
            </c:strRef>
          </c:cat>
          <c:val>
            <c:numRef>
              <c:f>'Average Returns by Category'!$B$4:$B$8</c:f>
              <c:numCache>
                <c:formatCode>0.0</c:formatCode>
                <c:ptCount val="5"/>
                <c:pt idx="0">
                  <c:v>5.7389280256410258</c:v>
                </c:pt>
                <c:pt idx="1">
                  <c:v>7.6876528437499996</c:v>
                </c:pt>
                <c:pt idx="2">
                  <c:v>4.0848306896551723</c:v>
                </c:pt>
                <c:pt idx="3">
                  <c:v>4.3619934615384617</c:v>
                </c:pt>
                <c:pt idx="4">
                  <c:v>4.0528091785714286</c:v>
                </c:pt>
              </c:numCache>
            </c:numRef>
          </c:val>
          <c:extLst>
            <c:ext xmlns:c16="http://schemas.microsoft.com/office/drawing/2014/chart" uri="{C3380CC4-5D6E-409C-BE32-E72D297353CC}">
              <c16:uniqueId val="{00000000-FB1F-4889-8684-BBAF82D83F67}"/>
            </c:ext>
          </c:extLst>
        </c:ser>
        <c:ser>
          <c:idx val="1"/>
          <c:order val="1"/>
          <c:tx>
            <c:strRef>
              <c:f>'Average Returns by Category'!$C$3</c:f>
              <c:strCache>
                <c:ptCount val="1"/>
                <c:pt idx="0">
                  <c:v>Average of 3 Years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Returns by Category'!$A$4:$A$8</c:f>
              <c:strCache>
                <c:ptCount val="5"/>
                <c:pt idx="0">
                  <c:v>Flexicap</c:v>
                </c:pt>
                <c:pt idx="1">
                  <c:v>Largecap</c:v>
                </c:pt>
                <c:pt idx="2">
                  <c:v>Midcap</c:v>
                </c:pt>
                <c:pt idx="3">
                  <c:v>Multicap</c:v>
                </c:pt>
                <c:pt idx="4">
                  <c:v>Smallcap</c:v>
                </c:pt>
              </c:strCache>
            </c:strRef>
          </c:cat>
          <c:val>
            <c:numRef>
              <c:f>'Average Returns by Category'!$C$4:$C$8</c:f>
              <c:numCache>
                <c:formatCode>0.0</c:formatCode>
                <c:ptCount val="5"/>
                <c:pt idx="0">
                  <c:v>14.857874076923077</c:v>
                </c:pt>
                <c:pt idx="1">
                  <c:v>15.531054687500001</c:v>
                </c:pt>
                <c:pt idx="2">
                  <c:v>23.475559034482757</c:v>
                </c:pt>
                <c:pt idx="3">
                  <c:v>12.713895846153845</c:v>
                </c:pt>
                <c:pt idx="4">
                  <c:v>18.411742999999998</c:v>
                </c:pt>
              </c:numCache>
            </c:numRef>
          </c:val>
          <c:extLst>
            <c:ext xmlns:c16="http://schemas.microsoft.com/office/drawing/2014/chart" uri="{C3380CC4-5D6E-409C-BE32-E72D297353CC}">
              <c16:uniqueId val="{00000001-FB1F-4889-8684-BBAF82D83F67}"/>
            </c:ext>
          </c:extLst>
        </c:ser>
        <c:ser>
          <c:idx val="2"/>
          <c:order val="2"/>
          <c:tx>
            <c:strRef>
              <c:f>'Average Returns by Category'!$D$3</c:f>
              <c:strCache>
                <c:ptCount val="1"/>
                <c:pt idx="0">
                  <c:v>Average of 5 Years</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Returns by Category'!$A$4:$A$8</c:f>
              <c:strCache>
                <c:ptCount val="5"/>
                <c:pt idx="0">
                  <c:v>Flexicap</c:v>
                </c:pt>
                <c:pt idx="1">
                  <c:v>Largecap</c:v>
                </c:pt>
                <c:pt idx="2">
                  <c:v>Midcap</c:v>
                </c:pt>
                <c:pt idx="3">
                  <c:v>Multicap</c:v>
                </c:pt>
                <c:pt idx="4">
                  <c:v>Smallcap</c:v>
                </c:pt>
              </c:strCache>
            </c:strRef>
          </c:cat>
          <c:val>
            <c:numRef>
              <c:f>'Average Returns by Category'!$D$4:$D$8</c:f>
              <c:numCache>
                <c:formatCode>0.0</c:formatCode>
                <c:ptCount val="5"/>
                <c:pt idx="0">
                  <c:v>10.853142051282051</c:v>
                </c:pt>
                <c:pt idx="1">
                  <c:v>13.444649375000001</c:v>
                </c:pt>
                <c:pt idx="2">
                  <c:v>19.158971758620691</c:v>
                </c:pt>
                <c:pt idx="3">
                  <c:v>6.5328539230769236</c:v>
                </c:pt>
                <c:pt idx="4">
                  <c:v>19.500749142857138</c:v>
                </c:pt>
              </c:numCache>
            </c:numRef>
          </c:val>
          <c:extLst>
            <c:ext xmlns:c16="http://schemas.microsoft.com/office/drawing/2014/chart" uri="{C3380CC4-5D6E-409C-BE32-E72D297353CC}">
              <c16:uniqueId val="{00000002-FB1F-4889-8684-BBAF82D83F67}"/>
            </c:ext>
          </c:extLst>
        </c:ser>
        <c:dLbls>
          <c:dLblPos val="inEnd"/>
          <c:showLegendKey val="0"/>
          <c:showVal val="1"/>
          <c:showCatName val="0"/>
          <c:showSerName val="0"/>
          <c:showPercent val="0"/>
          <c:showBubbleSize val="0"/>
        </c:dLbls>
        <c:gapWidth val="65"/>
        <c:axId val="1853576704"/>
        <c:axId val="1853577664"/>
      </c:barChart>
      <c:catAx>
        <c:axId val="18535767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53577664"/>
        <c:crosses val="autoZero"/>
        <c:auto val="1"/>
        <c:lblAlgn val="ctr"/>
        <c:lblOffset val="100"/>
        <c:noMultiLvlLbl val="0"/>
      </c:catAx>
      <c:valAx>
        <c:axId val="1853577664"/>
        <c:scaling>
          <c:orientation val="minMax"/>
        </c:scaling>
        <c:delete val="1"/>
        <c:axPos val="l"/>
        <c:numFmt formatCode="0.0" sourceLinked="1"/>
        <c:majorTickMark val="none"/>
        <c:minorTickMark val="none"/>
        <c:tickLblPos val="nextTo"/>
        <c:crossAx val="185357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[Analysis.xlsx]Top 10 Funds!PivotTable8</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10 Funds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Funds'!$B$3</c:f>
              <c:strCache>
                <c:ptCount val="1"/>
                <c:pt idx="0">
                  <c:v>Average of 3 Years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10 Funds'!$A$4:$A$14</c:f>
              <c:strCache>
                <c:ptCount val="10"/>
                <c:pt idx="0">
                  <c:v>WhiteOak Capital Mid Cap Fund Direct Growth</c:v>
                </c:pt>
                <c:pt idx="1">
                  <c:v>ITI Mid Cap Fund Direct Growth</c:v>
                </c:pt>
                <c:pt idx="2">
                  <c:v>Mahindra Manulife Small Cap Fund Direct Growth</c:v>
                </c:pt>
                <c:pt idx="3">
                  <c:v>ITI Small Cap Fund Direct Growth</c:v>
                </c:pt>
                <c:pt idx="4">
                  <c:v>Invesco India Mid Cap Fund Direct Plan Growth Option</c:v>
                </c:pt>
                <c:pt idx="5">
                  <c:v>HDFC Mid Cap Fund 0Direct Plan 0 Growth Option</c:v>
                </c:pt>
                <c:pt idx="6">
                  <c:v>Edelweiss Mid Cap Fund Direct Plan Growth Option</c:v>
                </c:pt>
                <c:pt idx="7">
                  <c:v>Invesco India Smallcap Fund Direct Growth</c:v>
                </c:pt>
                <c:pt idx="8">
                  <c:v>Bandhan Small Cap Fund Direct Growth</c:v>
                </c:pt>
                <c:pt idx="9">
                  <c:v>Motilal Oswal Midcap Direct Growth</c:v>
                </c:pt>
              </c:strCache>
            </c:strRef>
          </c:cat>
          <c:val>
            <c:numRef>
              <c:f>'Top 10 Funds'!$B$4:$B$14</c:f>
              <c:numCache>
                <c:formatCode>0.0</c:formatCode>
                <c:ptCount val="10"/>
                <c:pt idx="0">
                  <c:v>28.428474999999999</c:v>
                </c:pt>
                <c:pt idx="1">
                  <c:v>27.079858999999999</c:v>
                </c:pt>
                <c:pt idx="2">
                  <c:v>27.639212000000001</c:v>
                </c:pt>
                <c:pt idx="3">
                  <c:v>28.105792999999998</c:v>
                </c:pt>
                <c:pt idx="4">
                  <c:v>29.044687</c:v>
                </c:pt>
                <c:pt idx="5">
                  <c:v>26.799876999999999</c:v>
                </c:pt>
                <c:pt idx="6">
                  <c:v>27.994109000000002</c:v>
                </c:pt>
                <c:pt idx="7">
                  <c:v>26.992428</c:v>
                </c:pt>
                <c:pt idx="8">
                  <c:v>32.144193000000001</c:v>
                </c:pt>
                <c:pt idx="9">
                  <c:v>27.202817</c:v>
                </c:pt>
              </c:numCache>
            </c:numRef>
          </c:val>
          <c:extLst>
            <c:ext xmlns:c16="http://schemas.microsoft.com/office/drawing/2014/chart" uri="{C3380CC4-5D6E-409C-BE32-E72D297353CC}">
              <c16:uniqueId val="{00000000-F086-40A4-9D72-DF749A6DAF33}"/>
            </c:ext>
          </c:extLst>
        </c:ser>
        <c:ser>
          <c:idx val="1"/>
          <c:order val="1"/>
          <c:tx>
            <c:strRef>
              <c:f>'Top 10 Funds'!$C$3</c:f>
              <c:strCache>
                <c:ptCount val="1"/>
                <c:pt idx="0">
                  <c:v>Average of 5 Years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10 Funds'!$A$4:$A$14</c:f>
              <c:strCache>
                <c:ptCount val="10"/>
                <c:pt idx="0">
                  <c:v>WhiteOak Capital Mid Cap Fund Direct Growth</c:v>
                </c:pt>
                <c:pt idx="1">
                  <c:v>ITI Mid Cap Fund Direct Growth</c:v>
                </c:pt>
                <c:pt idx="2">
                  <c:v>Mahindra Manulife Small Cap Fund Direct Growth</c:v>
                </c:pt>
                <c:pt idx="3">
                  <c:v>ITI Small Cap Fund Direct Growth</c:v>
                </c:pt>
                <c:pt idx="4">
                  <c:v>Invesco India Mid Cap Fund Direct Plan Growth Option</c:v>
                </c:pt>
                <c:pt idx="5">
                  <c:v>HDFC Mid Cap Fund 0Direct Plan 0 Growth Option</c:v>
                </c:pt>
                <c:pt idx="6">
                  <c:v>Edelweiss Mid Cap Fund Direct Plan Growth Option</c:v>
                </c:pt>
                <c:pt idx="7">
                  <c:v>Invesco India Smallcap Fund Direct Growth</c:v>
                </c:pt>
                <c:pt idx="8">
                  <c:v>Bandhan Small Cap Fund Direct Growth</c:v>
                </c:pt>
                <c:pt idx="9">
                  <c:v>Motilal Oswal Midcap Direct Growth</c:v>
                </c:pt>
              </c:strCache>
            </c:strRef>
          </c:cat>
          <c:val>
            <c:numRef>
              <c:f>'Top 10 Funds'!$C$4:$C$14</c:f>
              <c:numCache>
                <c:formatCode>0.0</c:formatCode>
                <c:ptCount val="10"/>
                <c:pt idx="0">
                  <c:v>0</c:v>
                </c:pt>
                <c:pt idx="1">
                  <c:v>0</c:v>
                </c:pt>
                <c:pt idx="2">
                  <c:v>0</c:v>
                </c:pt>
                <c:pt idx="3">
                  <c:v>22.554874000000002</c:v>
                </c:pt>
                <c:pt idx="4">
                  <c:v>25.969234</c:v>
                </c:pt>
                <c:pt idx="5">
                  <c:v>26.530083000000001</c:v>
                </c:pt>
                <c:pt idx="6">
                  <c:v>27.231686</c:v>
                </c:pt>
                <c:pt idx="7">
                  <c:v>27.783429000000002</c:v>
                </c:pt>
                <c:pt idx="8">
                  <c:v>27.817063999999998</c:v>
                </c:pt>
                <c:pt idx="9">
                  <c:v>29.452368</c:v>
                </c:pt>
              </c:numCache>
            </c:numRef>
          </c:val>
          <c:extLst>
            <c:ext xmlns:c16="http://schemas.microsoft.com/office/drawing/2014/chart" uri="{C3380CC4-5D6E-409C-BE32-E72D297353CC}">
              <c16:uniqueId val="{00000001-F086-40A4-9D72-DF749A6DAF33}"/>
            </c:ext>
          </c:extLst>
        </c:ser>
        <c:dLbls>
          <c:dLblPos val="inEnd"/>
          <c:showLegendKey val="0"/>
          <c:showVal val="1"/>
          <c:showCatName val="0"/>
          <c:showSerName val="0"/>
          <c:showPercent val="0"/>
          <c:showBubbleSize val="0"/>
        </c:dLbls>
        <c:gapWidth val="65"/>
        <c:axId val="1863671952"/>
        <c:axId val="1863672432"/>
      </c:barChart>
      <c:catAx>
        <c:axId val="186367195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63672432"/>
        <c:crosses val="autoZero"/>
        <c:auto val="1"/>
        <c:lblAlgn val="ctr"/>
        <c:lblOffset val="100"/>
        <c:noMultiLvlLbl val="0"/>
      </c:catAx>
      <c:valAx>
        <c:axId val="1863672432"/>
        <c:scaling>
          <c:orientation val="minMax"/>
        </c:scaling>
        <c:delete val="1"/>
        <c:axPos val="b"/>
        <c:numFmt formatCode="0.0" sourceLinked="1"/>
        <c:majorTickMark val="none"/>
        <c:minorTickMark val="none"/>
        <c:tickLblPos val="nextTo"/>
        <c:crossAx val="186367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[Analysis.xlsx]Average Returns by Category!PivotTable7</c:name>
    <c:fmtId val="4"/>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Returns by Category'!$B$3</c:f>
              <c:strCache>
                <c:ptCount val="1"/>
                <c:pt idx="0">
                  <c:v>Average of 1 Year</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Returns by Category'!$A$4:$A$8</c:f>
              <c:strCache>
                <c:ptCount val="5"/>
                <c:pt idx="0">
                  <c:v>Flexicap</c:v>
                </c:pt>
                <c:pt idx="1">
                  <c:v>Largecap</c:v>
                </c:pt>
                <c:pt idx="2">
                  <c:v>Midcap</c:v>
                </c:pt>
                <c:pt idx="3">
                  <c:v>Multicap</c:v>
                </c:pt>
                <c:pt idx="4">
                  <c:v>Smallcap</c:v>
                </c:pt>
              </c:strCache>
            </c:strRef>
          </c:cat>
          <c:val>
            <c:numRef>
              <c:f>'Average Returns by Category'!$B$4:$B$8</c:f>
              <c:numCache>
                <c:formatCode>0.0</c:formatCode>
                <c:ptCount val="5"/>
                <c:pt idx="0">
                  <c:v>5.7389280256410258</c:v>
                </c:pt>
                <c:pt idx="1">
                  <c:v>7.6876528437499996</c:v>
                </c:pt>
                <c:pt idx="2">
                  <c:v>4.0848306896551723</c:v>
                </c:pt>
                <c:pt idx="3">
                  <c:v>4.3619934615384617</c:v>
                </c:pt>
                <c:pt idx="4">
                  <c:v>4.0528091785714286</c:v>
                </c:pt>
              </c:numCache>
            </c:numRef>
          </c:val>
          <c:extLst>
            <c:ext xmlns:c16="http://schemas.microsoft.com/office/drawing/2014/chart" uri="{C3380CC4-5D6E-409C-BE32-E72D297353CC}">
              <c16:uniqueId val="{00000000-CFCB-4022-9E42-B9AB1305FD29}"/>
            </c:ext>
          </c:extLst>
        </c:ser>
        <c:ser>
          <c:idx val="1"/>
          <c:order val="1"/>
          <c:tx>
            <c:strRef>
              <c:f>'Average Returns by Category'!$C$3</c:f>
              <c:strCache>
                <c:ptCount val="1"/>
                <c:pt idx="0">
                  <c:v>Average of 3 Years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Returns by Category'!$A$4:$A$8</c:f>
              <c:strCache>
                <c:ptCount val="5"/>
                <c:pt idx="0">
                  <c:v>Flexicap</c:v>
                </c:pt>
                <c:pt idx="1">
                  <c:v>Largecap</c:v>
                </c:pt>
                <c:pt idx="2">
                  <c:v>Midcap</c:v>
                </c:pt>
                <c:pt idx="3">
                  <c:v>Multicap</c:v>
                </c:pt>
                <c:pt idx="4">
                  <c:v>Smallcap</c:v>
                </c:pt>
              </c:strCache>
            </c:strRef>
          </c:cat>
          <c:val>
            <c:numRef>
              <c:f>'Average Returns by Category'!$C$4:$C$8</c:f>
              <c:numCache>
                <c:formatCode>0.0</c:formatCode>
                <c:ptCount val="5"/>
                <c:pt idx="0">
                  <c:v>14.857874076923077</c:v>
                </c:pt>
                <c:pt idx="1">
                  <c:v>15.531054687500001</c:v>
                </c:pt>
                <c:pt idx="2">
                  <c:v>23.475559034482757</c:v>
                </c:pt>
                <c:pt idx="3">
                  <c:v>12.713895846153845</c:v>
                </c:pt>
                <c:pt idx="4">
                  <c:v>18.411742999999998</c:v>
                </c:pt>
              </c:numCache>
            </c:numRef>
          </c:val>
          <c:extLst>
            <c:ext xmlns:c16="http://schemas.microsoft.com/office/drawing/2014/chart" uri="{C3380CC4-5D6E-409C-BE32-E72D297353CC}">
              <c16:uniqueId val="{00000001-CFCB-4022-9E42-B9AB1305FD29}"/>
            </c:ext>
          </c:extLst>
        </c:ser>
        <c:ser>
          <c:idx val="2"/>
          <c:order val="2"/>
          <c:tx>
            <c:strRef>
              <c:f>'Average Returns by Category'!$D$3</c:f>
              <c:strCache>
                <c:ptCount val="1"/>
                <c:pt idx="0">
                  <c:v>Average of 5 Years</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Returns by Category'!$A$4:$A$8</c:f>
              <c:strCache>
                <c:ptCount val="5"/>
                <c:pt idx="0">
                  <c:v>Flexicap</c:v>
                </c:pt>
                <c:pt idx="1">
                  <c:v>Largecap</c:v>
                </c:pt>
                <c:pt idx="2">
                  <c:v>Midcap</c:v>
                </c:pt>
                <c:pt idx="3">
                  <c:v>Multicap</c:v>
                </c:pt>
                <c:pt idx="4">
                  <c:v>Smallcap</c:v>
                </c:pt>
              </c:strCache>
            </c:strRef>
          </c:cat>
          <c:val>
            <c:numRef>
              <c:f>'Average Returns by Category'!$D$4:$D$8</c:f>
              <c:numCache>
                <c:formatCode>0.0</c:formatCode>
                <c:ptCount val="5"/>
                <c:pt idx="0">
                  <c:v>10.853142051282051</c:v>
                </c:pt>
                <c:pt idx="1">
                  <c:v>13.444649375000001</c:v>
                </c:pt>
                <c:pt idx="2">
                  <c:v>19.158971758620691</c:v>
                </c:pt>
                <c:pt idx="3">
                  <c:v>6.5328539230769236</c:v>
                </c:pt>
                <c:pt idx="4">
                  <c:v>19.500749142857138</c:v>
                </c:pt>
              </c:numCache>
            </c:numRef>
          </c:val>
          <c:extLst>
            <c:ext xmlns:c16="http://schemas.microsoft.com/office/drawing/2014/chart" uri="{C3380CC4-5D6E-409C-BE32-E72D297353CC}">
              <c16:uniqueId val="{00000002-CFCB-4022-9E42-B9AB1305FD29}"/>
            </c:ext>
          </c:extLst>
        </c:ser>
        <c:dLbls>
          <c:dLblPos val="inEnd"/>
          <c:showLegendKey val="0"/>
          <c:showVal val="1"/>
          <c:showCatName val="0"/>
          <c:showSerName val="0"/>
          <c:showPercent val="0"/>
          <c:showBubbleSize val="0"/>
        </c:dLbls>
        <c:gapWidth val="65"/>
        <c:axId val="1853576704"/>
        <c:axId val="1853577664"/>
      </c:barChart>
      <c:catAx>
        <c:axId val="18535767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53577664"/>
        <c:crosses val="autoZero"/>
        <c:auto val="1"/>
        <c:lblAlgn val="ctr"/>
        <c:lblOffset val="100"/>
        <c:noMultiLvlLbl val="0"/>
      </c:catAx>
      <c:valAx>
        <c:axId val="1853577664"/>
        <c:scaling>
          <c:orientation val="minMax"/>
        </c:scaling>
        <c:delete val="1"/>
        <c:axPos val="l"/>
        <c:numFmt formatCode="0.0" sourceLinked="1"/>
        <c:majorTickMark val="none"/>
        <c:minorTickMark val="none"/>
        <c:tickLblPos val="nextTo"/>
        <c:crossAx val="185357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541020</xdr:colOff>
      <xdr:row>5</xdr:row>
      <xdr:rowOff>80010</xdr:rowOff>
    </xdr:from>
    <xdr:to>
      <xdr:col>10</xdr:col>
      <xdr:colOff>457200</xdr:colOff>
      <xdr:row>26</xdr:row>
      <xdr:rowOff>167640</xdr:rowOff>
    </xdr:to>
    <xdr:graphicFrame macro="">
      <xdr:nvGraphicFramePr>
        <xdr:cNvPr id="2" name="Chart 1">
          <a:extLst>
            <a:ext uri="{FF2B5EF4-FFF2-40B4-BE49-F238E27FC236}">
              <a16:creationId xmlns:a16="http://schemas.microsoft.com/office/drawing/2014/main" id="{A3F81531-54D9-4A1F-F6E5-961AD126CD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129540</xdr:colOff>
      <xdr:row>7</xdr:row>
      <xdr:rowOff>7621</xdr:rowOff>
    </xdr:from>
    <xdr:to>
      <xdr:col>13</xdr:col>
      <xdr:colOff>129540</xdr:colOff>
      <xdr:row>17</xdr:row>
      <xdr:rowOff>83821</xdr:rowOff>
    </xdr:to>
    <mc:AlternateContent xmlns:mc="http://schemas.openxmlformats.org/markup-compatibility/2006">
      <mc:Choice xmlns:a14="http://schemas.microsoft.com/office/drawing/2010/main" Requires="a14">
        <xdr:graphicFrame macro="">
          <xdr:nvGraphicFramePr>
            <xdr:cNvPr id="3" name="Category 1">
              <a:extLst>
                <a:ext uri="{FF2B5EF4-FFF2-40B4-BE49-F238E27FC236}">
                  <a16:creationId xmlns:a16="http://schemas.microsoft.com/office/drawing/2014/main" id="{FC750748-560F-F133-C977-11FCEBD73C6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601200" y="1287781"/>
              <a:ext cx="1828800" cy="190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457200</xdr:colOff>
      <xdr:row>4</xdr:row>
      <xdr:rowOff>156210</xdr:rowOff>
    </xdr:from>
    <xdr:to>
      <xdr:col>13</xdr:col>
      <xdr:colOff>419100</xdr:colOff>
      <xdr:row>26</xdr:row>
      <xdr:rowOff>76200</xdr:rowOff>
    </xdr:to>
    <xdr:graphicFrame macro="">
      <xdr:nvGraphicFramePr>
        <xdr:cNvPr id="2" name="Chart 1">
          <a:extLst>
            <a:ext uri="{FF2B5EF4-FFF2-40B4-BE49-F238E27FC236}">
              <a16:creationId xmlns:a16="http://schemas.microsoft.com/office/drawing/2014/main" id="{3B170CF5-1258-A584-59CB-3624CD29EE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564777</xdr:colOff>
      <xdr:row>0</xdr:row>
      <xdr:rowOff>0</xdr:rowOff>
    </xdr:from>
    <xdr:to>
      <xdr:col>6</xdr:col>
      <xdr:colOff>1050216</xdr:colOff>
      <xdr:row>24</xdr:row>
      <xdr:rowOff>134470</xdr:rowOff>
    </xdr:to>
    <xdr:graphicFrame macro="">
      <xdr:nvGraphicFramePr>
        <xdr:cNvPr id="6" name="Chart 5">
          <a:extLst>
            <a:ext uri="{FF2B5EF4-FFF2-40B4-BE49-F238E27FC236}">
              <a16:creationId xmlns:a16="http://schemas.microsoft.com/office/drawing/2014/main" id="{434DE0CC-71E6-4EDC-8B91-50503EE15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17929</xdr:colOff>
      <xdr:row>0</xdr:row>
      <xdr:rowOff>1</xdr:rowOff>
    </xdr:from>
    <xdr:to>
      <xdr:col>1</xdr:col>
      <xdr:colOff>573741</xdr:colOff>
      <xdr:row>10</xdr:row>
      <xdr:rowOff>143436</xdr:rowOff>
    </xdr:to>
    <mc:AlternateContent xmlns:mc="http://schemas.openxmlformats.org/markup-compatibility/2006">
      <mc:Choice xmlns:a14="http://schemas.microsoft.com/office/drawing/2010/main" Requires="a14">
        <xdr:graphicFrame macro="">
          <xdr:nvGraphicFramePr>
            <xdr:cNvPr id="4" name="Category 3">
              <a:extLst>
                <a:ext uri="{FF2B5EF4-FFF2-40B4-BE49-F238E27FC236}">
                  <a16:creationId xmlns:a16="http://schemas.microsoft.com/office/drawing/2014/main" id="{1C87349A-7AE3-4717-BBE7-0A23419C2DE5}"/>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17929" y="1"/>
              <a:ext cx="3801036" cy="19363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1034975</xdr:colOff>
      <xdr:row>0</xdr:row>
      <xdr:rowOff>0</xdr:rowOff>
    </xdr:from>
    <xdr:to>
      <xdr:col>9</xdr:col>
      <xdr:colOff>833717</xdr:colOff>
      <xdr:row>24</xdr:row>
      <xdr:rowOff>143436</xdr:rowOff>
    </xdr:to>
    <xdr:graphicFrame macro="">
      <xdr:nvGraphicFramePr>
        <xdr:cNvPr id="7" name="Chart 6">
          <a:extLst>
            <a:ext uri="{FF2B5EF4-FFF2-40B4-BE49-F238E27FC236}">
              <a16:creationId xmlns:a16="http://schemas.microsoft.com/office/drawing/2014/main" id="{B09E7CA7-D971-44AB-9FA8-21042F839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 vedavyas" refreshedDate="46026.664691550926" createdVersion="8" refreshedVersion="8" minRefreshableVersion="3" recordCount="154" xr:uid="{FDC3376D-48AB-419F-B444-328D3AC86AB2}">
  <cacheSource type="worksheet">
    <worksheetSource name="MasterData"/>
  </cacheSource>
  <cacheFields count="15">
    <cacheField name="Category" numFmtId="0">
      <sharedItems count="5">
        <s v="Largecap"/>
        <s v="Flexicap"/>
        <s v="Midcap"/>
        <s v="Smallcap"/>
        <s v="Multicap"/>
      </sharedItems>
    </cacheField>
    <cacheField name="Scheme Name" numFmtId="0">
      <sharedItems count="154">
        <s v="Aditya Birla Sun Life Large Cap Fund Direct Plan Growth"/>
        <s v="Axis Large Cap Fund Direct Plan Growth"/>
        <s v="Bajaj Finserv Large Cap Fund Direct Growth"/>
        <s v="Bandhan Large Cap Fund Direct Plan Growth"/>
        <s v="Bank of India Large Cap Fund Direct Growth"/>
        <s v="Baroda BNP Paribas Large Cap Fund Direct Plan Growth Option"/>
        <s v="Canara Robeco Large Cap Fund Direct Plan Growth"/>
        <s v="DSP Large Cap Fund Direct Plan Growth"/>
        <s v="Edelweiss Large Cap Fund Direct Plan Growth option"/>
        <s v="Franklin India Large Cap Fund Direct Growth"/>
        <s v="Groww Large Cap Fund Direct Plan Growth Option"/>
        <s v="HDFC Large Cap Fund -Direct Plan - Growth Option"/>
        <s v="HSBC Large Cap Fund - Growth Direct"/>
        <s v="ICICI Prudential Large Cap Fund Direct Plan Growth"/>
        <s v="Invesco India largecap Fund Direct Plan Growth"/>
        <s v="ITI Large Cap Fund Direct Growth"/>
        <s v="JM Large Cap Fund (Direct) - Growth"/>
        <s v="Kotak Large Cap Direct Growth"/>
        <s v="LIC MF Large Cap Fund Direct Plan Growth"/>
        <s v="Mahindra Manulife Large Cap Fund Direct Growth"/>
        <s v="Mirae Asset Large Cap Fund Direct Plan Growth"/>
        <s v="Motilal Oswal Large Cap Fund Direct Growth"/>
        <s v="Nippon India Large Cap Fund - Direct Plan - Growth Plan"/>
        <s v="PGIM India Large Cap Fund Direct Plan Growth"/>
        <s v="Quant Large Cap Fund Direct Growth"/>
        <s v="SBI Large Cap Fund Direct Growth"/>
        <s v="Sundaram Large Cap Fund Dir Gr"/>
        <s v="Tata Large Cap Fund Direct Plan Growth"/>
        <s v="Taurus Largecap Equity Fund - Direct Plan-Growth Option"/>
        <s v="Union Largecap Fund Direct Growth"/>
        <s v="UTI Large cap Fund Growth Option - Direct"/>
        <s v="WhiteOak Capital Large Cap Fund Direct Growth"/>
        <s v="360 ONE Flexicap Fund Direct Growth"/>
        <s v="Aditya Birla Sun Life Flexi Cap Fund Direct Plan Growth"/>
        <s v="Axis Flexi Cap Fund Direct Growth"/>
        <s v="Bajaj Finserv Flexi Cap Fund Direct Growth"/>
        <s v="Bandhan Flexi Cap Fund-Direct Plan-Growth"/>
        <s v="Bank of India Flexi Cap Fund Direct Growth"/>
        <s v="Baroda BNP Paribas Flexi Cap Fund Direct Growth"/>
        <s v="Canara Robeco Flexi Cap Fund Direct Plan Growth Option"/>
        <s v="DSP Flexi Cap Fund Direct Plan Growth"/>
        <s v="Edelweiss Flexi Cap Fund Direct Growth"/>
        <s v="Franklin India Flexi Cap Fund Direct Growth"/>
        <s v="HDFC Flexi Cap Fund -Direct Plan - Growth Option"/>
        <s v="Helios Flexi Cap Fund Direct Growth"/>
        <s v="HSBC Flexi Cap Fund Growth Direct"/>
        <s v="ICICI Prudential Flexicap Fund Direct Growth"/>
        <s v="Invesco India Flexi Cap Fund Direct Growth"/>
        <s v="ITI Flexi Cap Fund Direct Growth"/>
        <s v="JM Flexicap Fund (Direct) Growth Option"/>
        <s v="Kotak Flexicap Fund Direct Growth"/>
        <s v="LIC MF Flexi Cap Fund Direct Plan Growth Option"/>
        <s v="Mahindra Manulife Flexi Cap Fund Direct Growth"/>
        <s v="Mirae Asset Flexi Cap Fund Direct Growth"/>
        <s v="Motilal Oswal Flexicap Fund Direct Plan Growth"/>
        <s v="Navi Flexi Cap Fund Direct Growth"/>
        <s v="Nippon India Flexi Cap Fund Direct Growth"/>
        <s v="NJ Flexi Cap Fund Direct Growth"/>
        <s v="Parag Parikh Flexi Cap Direct Growth"/>
        <s v="PGIM India Flexi Cap Fund Direct Growth"/>
        <s v="Quant Flexi Cap Fund Growth Option Direct Plan"/>
        <s v="Samco Flexi Cap Fund Direct Growth"/>
        <s v="SBI Flexicap Fund Direct Growth"/>
        <s v="Shriram Flexi Cap Fund Direct Growth"/>
        <s v="Sundaram Flexi Cap Fund Direct Growth"/>
        <s v="Tata Flexi Cap Fund Direct Growth"/>
        <s v="Taurus Flexi Cap Fund - Direct Plan-Growth Option"/>
        <s v="TrustMF Flexi Cap Fund Direct Growth"/>
        <s v="Union Flexi Cap Fund Direct Growth Option"/>
        <s v="UTI Flexi Cap Fund - Growth Option - Direct"/>
        <s v="WhiteOak Capital Flexi Cap Fund Direct Growth"/>
        <s v="Aditya Birla Sun Life Mid Cap Fund Direct Plan Growth"/>
        <s v="Axis Midcap Fund Direct Plan Growth"/>
        <s v="Bandhan Midcap Fund Direct Growth"/>
        <s v="Baroda BNP Paribas Mid Cap Fund Direct Plan Growth Option"/>
        <s v="Canara Robeco Mid Cap Fund Direct Growth"/>
        <s v="DSP Midcap Fund Direct Plan Growth"/>
        <s v="Edelweiss Mid Cap Fund Direct Plan Growth Option"/>
        <s v="Franklin India Mid Cap Fund Direct Growth"/>
        <s v="HDFC Mid Cap Fund 0Direct Plan 0 Growth Option"/>
        <s v="HSBC Midcap Fund Direct Plan Growth"/>
        <s v="ICICI Prudential MidCap Fund Direct Plan Growth"/>
        <s v="Invesco India Mid Cap Fund Direct Plan Growth Option"/>
        <s v="ITI Mid Cap Fund Direct Growth"/>
        <s v="JM Midcap Fund Direct Growth"/>
        <s v="Kotak Midcap Fund Direct Growth"/>
        <s v="LIC MF Midcap Fund Direct Growth"/>
        <s v="Mahindra Manulife Mid Cap Fund Direct Growth"/>
        <s v="Mirae Asset Midcap Fund Direct Growth"/>
        <s v="Motilal Oswal Midcap Direct Growth"/>
        <s v="Nippon India Growth Mid Cap Fund 0 Direct Plan 0 Growth Mid Cap"/>
        <s v="PGIM India Midcap Fund Direct Growth"/>
        <s v="Quant Mid Cap Fund Growth Option Direct Plan"/>
        <s v="SBI Midcap Fund Direct Growth"/>
        <s v="Sundaram Mid Cap 0 Direct Plan 0 Growth Option"/>
        <s v="Tata Mid Cap Fund Direct Plan Growth"/>
        <s v="Taurus Discovery (Midcap) Fund 0 Direct Plan0Growth Option"/>
        <s v="Union Midcap Fund Direct Growth"/>
        <s v="UTI Mid Cap Fund0Growth Option0 Direct"/>
        <s v="WhiteOak Capital Mid Cap Fund Direct Growth"/>
        <s v="Aditya Birla Sun Life Small Cap Fund Direct Plan Growth"/>
        <s v="Axis Small Cap Fund Direct Growth"/>
        <s v="Bandhan Small Cap Fund Direct Growth"/>
        <s v="Bank of India Small Cap Fund Direct Growth"/>
        <s v="Baroda BNP Paribas Small Cap Fund Direct Growth"/>
        <s v="Canara Robeco Small Cap Fund Direct Growth"/>
        <s v="DSP Small Cap Fund Direct Plan Growth"/>
        <s v="Edelweiss Small Cap Fund Direct Growth"/>
        <s v="Franklin India Small Cap Fund Direct Growth"/>
        <s v="HDFC Small Cap Fund0Direct Growth Option"/>
        <s v="HSBC Small Cap Fund Fund Direct Growth"/>
        <s v="ICICI Prudential Smallcap Fund Direct Plan Growth"/>
        <s v="Invesco India Smallcap Fund Direct Growth"/>
        <s v="ITI Small Cap Fund Direct Growth"/>
        <s v="JM Small Cap Fund Direct Growth"/>
        <s v="Kotak Small Cap Direct Growth"/>
        <s v="LIC MF Small Cap Fund Direct Growth"/>
        <s v="Mahindra Manulife Small Cap Fund Direct Growth"/>
        <s v="Motilal Oswal Small Cap Fund Direct Growth"/>
        <s v="Nippon India Small Cap Fund 0 Direct Plan 0 Growth Plan"/>
        <s v="PGIM India Small Cap Fund Direct Growth"/>
        <s v="Quant Small Cap Fund Growth Option Direct Plan"/>
        <s v="Quantum Small Cap Fund Direct Growth"/>
        <s v="SBI Small Cap Fund Direct Plan Growth"/>
        <s v="Sundaram Small Cap Fund 0 Direct Plan 0 Growth Option"/>
        <s v="Tata Small Cap Fund Direct Growth"/>
        <s v="Union Small Cap Fund Direct Growth"/>
        <s v="UTI Small Cap Fund Direct Growth"/>
        <s v="Aditya Birla Sun Life Multi-Cap Fund Direct Growth"/>
        <s v="Axis Multicap Fund Direct Growth"/>
        <s v="Bandhan Multi Cap Fund Direct Growth"/>
        <s v="Bank of India Multi Cap Fund Direct Growth"/>
        <s v="Baroda BNP Paribas Multi Cap Fund Direct Growth Option"/>
        <s v="Canara Robeco Multi Cap Fund Direct Growth"/>
        <s v="DSP Multicap Fund Direct Growth"/>
        <s v="Edelweiss Multi Cap Fund Direct Growth"/>
        <s v="Franklin India Multi Cap Fund Direct Growth"/>
        <s v="HDFC Multi Cap Fund Direct Growth"/>
        <s v="HSBC Multi Cap Fund Direct Growth"/>
        <s v="ICICI Prudential Multicap Fund Direct Plan Growth"/>
        <s v="Invesco India Multicap Fund Direct Plan Growth Option"/>
        <s v="ITI Multi Cap Fund Direct Growth"/>
        <s v="Kotak Multicap Fund Direct Growth"/>
        <s v="LIC MF Multi Cap Fund Direct Growth"/>
        <s v="Mahindra Manulife Multi Cap Fund Direct Plan Growth"/>
        <s v="Mirae Asset Multicap Fund Direct Growth"/>
        <s v="Motilal Oswal Multi Cap Fund Direct Growth"/>
        <s v="Nippon India Multi Cap Fund - Direct Plan - Growth"/>
        <s v="Quant Multi Cap Fund Growth Option Direct Plan"/>
        <s v="SBI Multicap Fund Direct Growth"/>
        <s v="Sundaram Multi Cap Fund-Direct Plan - Option"/>
        <s v="Tata Multicap Fund Direct Growth"/>
        <s v="Union Multicap Fund Direct Growth"/>
        <s v="WhiteOak Capital Multi Cap Fund Direct Growth"/>
      </sharedItems>
    </cacheField>
    <cacheField name="NAV" numFmtId="0">
      <sharedItems containsSemiMixedTypes="0" containsString="0" containsNumber="1" minValue="9.9265000000000008" maxValue="4629.2195000000002"/>
    </cacheField>
    <cacheField name="1 Day" numFmtId="0">
      <sharedItems containsSemiMixedTypes="0" containsString="0" containsNumber="1" minValue="1.8140000000000001E-3" maxValue="0.79607300000000003"/>
    </cacheField>
    <cacheField name="1 Week" numFmtId="0">
      <sharedItems containsSemiMixedTypes="0" containsString="0" containsNumber="1" minValue="0" maxValue="1.392906"/>
    </cacheField>
    <cacheField name="2 Weeks" numFmtId="0">
      <sharedItems containsSemiMixedTypes="0" containsString="0" containsNumber="1" minValue="0" maxValue="1.948518"/>
    </cacheField>
    <cacheField name="1 Month" numFmtId="0">
      <sharedItems containsSemiMixedTypes="0" containsString="0" containsNumber="1" minValue="4.7565000000000003E-2" maxValue="4.8839620000000004"/>
    </cacheField>
    <cacheField name="3 Months" numFmtId="0">
      <sharedItems containsSemiMixedTypes="0" containsString="0" containsNumber="1" minValue="7.3099999999999999E-4" maxValue="8.1931080000000005"/>
    </cacheField>
    <cacheField name="6 Months" numFmtId="0">
      <sharedItems containsSemiMixedTypes="0" containsString="0" containsNumber="1" minValue="7.2515999999999997E-2" maxValue="8.699166"/>
    </cacheField>
    <cacheField name="1 Year" numFmtId="0">
      <sharedItems containsSemiMixedTypes="0" containsString="0" containsNumber="1" minValue="7.7784000000000006E-2" maxValue="17.274168"/>
    </cacheField>
    <cacheField name="2 Years" numFmtId="0">
      <sharedItems containsSemiMixedTypes="0" containsString="0" containsNumber="1" minValue="0" maxValue="25.680318"/>
    </cacheField>
    <cacheField name="3 Years" numFmtId="0">
      <sharedItems containsSemiMixedTypes="0" containsString="0" containsNumber="1" minValue="0" maxValue="32.144193000000001"/>
    </cacheField>
    <cacheField name="4 years" numFmtId="0">
      <sharedItems containsSemiMixedTypes="0" containsString="0" containsNumber="1" minValue="0" maxValue="23.580936000000001"/>
    </cacheField>
    <cacheField name="5 Years" numFmtId="0">
      <sharedItems containsSemiMixedTypes="0" containsString="0" containsNumber="1" minValue="0" maxValue="31.227277000000001"/>
    </cacheField>
    <cacheField name="10 Years" numFmtId="0">
      <sharedItems containsSemiMixedTypes="0" containsString="0" containsNumber="1" minValue="0" maxValue="20.812000000000001"/>
    </cacheField>
  </cacheFields>
  <extLst>
    <ext xmlns:x14="http://schemas.microsoft.com/office/spreadsheetml/2009/9/main" uri="{725AE2AE-9491-48be-B2B4-4EB974FC3084}">
      <x14:pivotCacheDefinition pivotCacheId="257413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4">
  <r>
    <x v="0"/>
    <x v="0"/>
    <n v="605.03"/>
    <n v="0.34588999999999998"/>
    <n v="0.23857300000000001"/>
    <n v="0.21440500000000001"/>
    <n v="0.51957399999999998"/>
    <n v="5.1202310000000004"/>
    <n v="2.1975609999999999"/>
    <n v="9.256551"/>
    <n v="13.867754"/>
    <n v="16.663599999999999"/>
    <n v="13.929805"/>
    <n v="16.673783"/>
    <n v="15.138806000000001"/>
  </r>
  <r>
    <x v="0"/>
    <x v="1"/>
    <n v="71.510000000000005"/>
    <n v="0.40389999999999998"/>
    <n v="0.224247"/>
    <n v="5.5967999999999997E-2"/>
    <n v="0.85955899999999996"/>
    <n v="3.6677300000000002"/>
    <n v="1.217268"/>
    <n v="6.6676609999999998"/>
    <n v="11.773391999999999"/>
    <n v="13.526063000000001"/>
    <n v="9.1183840000000007"/>
    <n v="11.536460999999999"/>
    <n v="13.921056999999999"/>
  </r>
  <r>
    <x v="0"/>
    <x v="2"/>
    <n v="10.541"/>
    <n v="0.47209899999999999"/>
    <n v="0.104463"/>
    <n v="1.8977000000000001E-2"/>
    <n v="0.79058799999999996"/>
    <n v="6.0676189999999997"/>
    <n v="2.8490579999999999"/>
    <n v="9.0523480000000003"/>
    <n v="0"/>
    <n v="0"/>
    <n v="0"/>
    <n v="0"/>
    <n v="0"/>
  </r>
  <r>
    <x v="0"/>
    <x v="3"/>
    <n v="92.366"/>
    <n v="0.31944099999999997"/>
    <n v="0.29535"/>
    <n v="0.13838700000000001"/>
    <n v="0.78733399999999998"/>
    <n v="5.5888980000000004"/>
    <n v="3.916296"/>
    <n v="8.9118949999999995"/>
    <n v="15.054023000000001"/>
    <n v="19.157381000000001"/>
    <n v="14.161123"/>
    <n v="16.720780000000001"/>
    <n v="14.882389"/>
  </r>
  <r>
    <x v="0"/>
    <x v="4"/>
    <n v="17.57"/>
    <n v="0.34032899999999999"/>
    <n v="0.51487400000000005"/>
    <n v="1.0350779999999999"/>
    <n v="0.11396000000000001"/>
    <n v="5.1466190000000003"/>
    <n v="3.7190080000000001"/>
    <n v="6.0350029999999997"/>
    <n v="11.305320999999999"/>
    <n v="17.354085999999999"/>
    <n v="12.780881000000001"/>
    <n v="0"/>
    <n v="0"/>
  </r>
  <r>
    <x v="0"/>
    <x v="5"/>
    <n v="261.613"/>
    <n v="0.313448"/>
    <n v="0.14416100000000001"/>
    <n v="8.2939999999999993E-3"/>
    <n v="0.71906800000000004"/>
    <n v="4.7268869999999996"/>
    <n v="1.460477"/>
    <n v="4.9072579999999997"/>
    <n v="13.948217"/>
    <n v="17.446860999999998"/>
    <n v="14.789173"/>
    <n v="16.484722999999999"/>
    <n v="14.470245999999999"/>
  </r>
  <r>
    <x v="0"/>
    <x v="6"/>
    <n v="75.150000000000006"/>
    <n v="0.331565"/>
    <n v="0.253469"/>
    <n v="0.119617"/>
    <n v="0.77898100000000003"/>
    <n v="4.5056320000000003"/>
    <n v="1.4717800000000001"/>
    <n v="7.9586269999999999"/>
    <n v="14.480975000000001"/>
    <n v="17.08023"/>
    <n v="13.659765999999999"/>
    <n v="16.067247999999999"/>
    <n v="15.87262"/>
  </r>
  <r>
    <x v="0"/>
    <x v="7"/>
    <n v="533.048"/>
    <n v="0.21079300000000001"/>
    <n v="0.20923600000000001"/>
    <n v="0.437996"/>
    <n v="0.34343800000000002"/>
    <n v="4.4068250000000004"/>
    <n v="1.5184500000000001"/>
    <n v="8.9819180000000003"/>
    <n v="15.990931"/>
    <n v="19.256699000000001"/>
    <n v="15.354666"/>
    <n v="16.237293000000001"/>
    <n v="13.219619"/>
  </r>
  <r>
    <x v="0"/>
    <x v="8"/>
    <n v="100.03"/>
    <n v="0.328816"/>
    <n v="0.140154"/>
    <n v="0.16966100000000001"/>
    <n v="0.75404300000000002"/>
    <n v="4.8752360000000001"/>
    <n v="2.1861269999999999"/>
    <n v="8.5512750000000004"/>
    <n v="13.148108000000001"/>
    <n v="17.332215000000001"/>
    <n v="14.572927999999999"/>
    <n v="16.513594000000001"/>
    <n v="14.917144"/>
  </r>
  <r>
    <x v="0"/>
    <x v="9"/>
    <n v="1182.4889000000001"/>
    <n v="0.33349200000000001"/>
    <n v="0.119738"/>
    <n v="0.45811600000000002"/>
    <n v="0.44303100000000001"/>
    <n v="5.5705429999999998"/>
    <n v="2.8445010000000002"/>
    <n v="8.8234820000000003"/>
    <n v="14.041824999999999"/>
    <n v="16.357244000000001"/>
    <n v="12.167657"/>
    <n v="16.077234000000001"/>
    <n v="12.895989999999999"/>
  </r>
  <r>
    <x v="0"/>
    <x v="10"/>
    <n v="53.24"/>
    <n v="0.31829200000000002"/>
    <n v="9.4003000000000003E-2"/>
    <n v="0.54175200000000001"/>
    <n v="0.98568"/>
    <n v="3.4791059999999998"/>
    <n v="2.6214339999999998"/>
    <n v="7.7950999999999997"/>
    <n v="12.140072"/>
    <n v="15.444457"/>
    <n v="13.325105000000001"/>
    <n v="14.361005"/>
    <n v="13.397568"/>
  </r>
  <r>
    <x v="0"/>
    <x v="11"/>
    <n v="1274.4110000000001"/>
    <n v="0.198521"/>
    <n v="0.318965"/>
    <n v="3.8041999999999999E-2"/>
    <n v="0.42419400000000002"/>
    <n v="4.8482000000000003"/>
    <n v="2.2954469999999998"/>
    <n v="7.9095750000000002"/>
    <n v="10.940617"/>
    <n v="16.827328999999999"/>
    <n v="15.821249"/>
    <n v="18.300625"/>
    <n v="14.515934"/>
  </r>
  <r>
    <x v="0"/>
    <x v="12"/>
    <n v="549.31010000000003"/>
    <n v="0.37945099999999998"/>
    <n v="0.39025900000000002"/>
    <n v="0.43120799999999998"/>
    <n v="0.30631900000000001"/>
    <n v="5.9235290000000003"/>
    <n v="3.8070970000000002"/>
    <n v="4.9415620000000002"/>
    <n v="12.735246999999999"/>
    <n v="16.367242999999998"/>
    <n v="13.026073999999999"/>
    <n v="14.968437"/>
    <n v="14.209315999999999"/>
  </r>
  <r>
    <x v="0"/>
    <x v="13"/>
    <n v="126.59"/>
    <n v="0.377745"/>
    <n v="0.118633"/>
    <n v="0.40909400000000001"/>
    <n v="1.039712"/>
    <n v="4.7323570000000004"/>
    <n v="3.4316529999999998"/>
    <n v="10.791178"/>
    <n v="15.242077999999999"/>
    <n v="19.043095999999998"/>
    <n v="16.513559999999998"/>
    <n v="19.015160000000002"/>
    <n v="15.855479000000001"/>
  </r>
  <r>
    <x v="0"/>
    <x v="14"/>
    <n v="85.68"/>
    <n v="0.48780499999999999"/>
    <n v="7.0077E-2"/>
    <n v="5.8390999999999998E-2"/>
    <n v="1.176471"/>
    <n v="4.1069259999999996"/>
    <n v="1.049652"/>
    <n v="7.1267820000000004"/>
    <n v="14.817689"/>
    <n v="19.264695"/>
    <n v="14.185835000000001"/>
    <n v="17.815449999999998"/>
    <n v="14.986288999999999"/>
  </r>
  <r>
    <x v="0"/>
    <x v="15"/>
    <n v="19.916499999999999"/>
    <n v="0.31282799999999999"/>
    <n v="0.46052500000000002"/>
    <n v="0.27186900000000003"/>
    <n v="0.57310300000000003"/>
    <n v="5.0481559999999996"/>
    <n v="0.78639300000000001"/>
    <n v="4.7250220000000001"/>
    <n v="11.579879999999999"/>
    <n v="16.091536000000001"/>
    <n v="12.669090000000001"/>
    <n v="14.775924"/>
    <n v="0"/>
  </r>
  <r>
    <x v="0"/>
    <x v="16"/>
    <n v="182.46600000000001"/>
    <n v="0.69585699999999995"/>
    <n v="0.32064599999999999"/>
    <n v="7.8980999999999996E-2"/>
    <n v="0.69353299999999996"/>
    <n v="5.422987"/>
    <n v="2.7298580000000001"/>
    <n v="4.0880280000000004"/>
    <n v="11.673873"/>
    <n v="17.375126000000002"/>
    <n v="14.266468"/>
    <n v="16.043865"/>
    <n v="13.089922"/>
  </r>
  <r>
    <x v="0"/>
    <x v="17"/>
    <n v="684.97500000000002"/>
    <n v="0.43837799999999999"/>
    <n v="0.175789"/>
    <n v="3.0939999999999999E-2"/>
    <n v="0.73890599999999995"/>
    <n v="4.9530450000000004"/>
    <n v="2.8492540000000002"/>
    <n v="9.0087480000000006"/>
    <n v="14.261777"/>
    <n v="17.239342000000001"/>
    <n v="14.005495"/>
    <n v="16.843958000000001"/>
    <n v="14.751321000000001"/>
  </r>
  <r>
    <x v="0"/>
    <x v="18"/>
    <n v="65.343299999999999"/>
    <n v="0.23375299999999999"/>
    <n v="0.475134"/>
    <n v="0.23731099999999999"/>
    <n v="0.79960500000000001"/>
    <n v="4.3084530000000001"/>
    <n v="1.0339449999999999"/>
    <n v="6.2751890000000001"/>
    <n v="11.838960999999999"/>
    <n v="13.557149000000001"/>
    <n v="10.390867999999999"/>
    <n v="13.139113"/>
    <n v="12.74464"/>
  </r>
  <r>
    <x v="0"/>
    <x v="19"/>
    <n v="26.923300000000001"/>
    <n v="0.330955"/>
    <n v="0.33241300000000001"/>
    <n v="0.29092699999999999"/>
    <n v="4.7565000000000003E-2"/>
    <n v="6.0916410000000001"/>
    <n v="1.8525659999999999"/>
    <n v="10.227551999999999"/>
    <n v="13.58915"/>
    <n v="16.553878000000001"/>
    <n v="13.578861"/>
    <n v="16.924375000000001"/>
    <n v="0"/>
  </r>
  <r>
    <x v="0"/>
    <x v="20"/>
    <n v="133.09100000000001"/>
    <n v="0.35115299999999999"/>
    <n v="0.30598799999999998"/>
    <n v="0.166328"/>
    <n v="0.39515299999999998"/>
    <n v="5.6269390000000001"/>
    <n v="3.7487720000000002"/>
    <n v="10.47555"/>
    <n v="13.02403"/>
    <n v="14.99436"/>
    <n v="12.225823"/>
    <n v="15.245964000000001"/>
    <n v="14.96049"/>
  </r>
  <r>
    <x v="0"/>
    <x v="21"/>
    <n v="14.5962"/>
    <n v="0.46099899999999999"/>
    <n v="0.18463499999999999"/>
    <n v="0.202517"/>
    <n v="0.968858"/>
    <n v="4.4473229999999999"/>
    <n v="2.4079139999999999"/>
    <n v="9.4373009999999997"/>
    <n v="0"/>
    <n v="0"/>
    <n v="0"/>
    <n v="0"/>
    <n v="0"/>
  </r>
  <r>
    <x v="0"/>
    <x v="22"/>
    <n v="104.99120000000001"/>
    <n v="0.34511999999999998"/>
    <n v="0.230741"/>
    <n v="0.26844299999999999"/>
    <n v="0.55344300000000002"/>
    <n v="3.631043"/>
    <n v="2.7856260000000002"/>
    <n v="9.1496940000000002"/>
    <n v="15.321351"/>
    <n v="20.673542000000001"/>
    <n v="18.868438999999999"/>
    <n v="21.505499"/>
    <n v="15.96523"/>
  </r>
  <r>
    <x v="0"/>
    <x v="23"/>
    <n v="417.32"/>
    <n v="0.41283900000000001"/>
    <n v="0.12235799999999999"/>
    <n v="0.336733"/>
    <n v="0.89058800000000005"/>
    <n v="4.2700449999999996"/>
    <n v="1.956952"/>
    <n v="8.5865950000000009"/>
    <n v="10.663822"/>
    <n v="13.836429000000001"/>
    <n v="11.612163000000001"/>
    <n v="13.563473999999999"/>
    <n v="12.796773"/>
  </r>
  <r>
    <x v="0"/>
    <x v="24"/>
    <n v="15.994400000000001"/>
    <n v="0.31474200000000002"/>
    <n v="0.35076400000000002"/>
    <n v="0.83329200000000003"/>
    <n v="1.230116"/>
    <n v="2.7119010000000001"/>
    <n v="0.86140600000000001"/>
    <n v="5.0190409999999996"/>
    <n v="11.655953"/>
    <n v="16.860382000000001"/>
    <n v="0"/>
    <n v="0"/>
    <n v="0"/>
  </r>
  <r>
    <x v="0"/>
    <x v="25"/>
    <n v="106.48050000000001"/>
    <n v="0.26946199999999998"/>
    <n v="0.16631599999999999"/>
    <n v="8.4500000000000005E-4"/>
    <n v="0.14985000000000001"/>
    <n v="5.1390310000000001"/>
    <n v="2.6688170000000002"/>
    <n v="9.3123459999999998"/>
    <n v="12.427284"/>
    <n v="15.552975999999999"/>
    <n v="13.428203"/>
    <n v="15.982116"/>
    <n v="13.987665"/>
  </r>
  <r>
    <x v="0"/>
    <x v="26"/>
    <n v="23.379100000000001"/>
    <n v="0.25257800000000002"/>
    <n v="7.0196999999999996E-2"/>
    <n v="0.19296199999999999"/>
    <n v="0.92678099999999997"/>
    <n v="4.5268389999999998"/>
    <n v="1.2805679999999999"/>
    <n v="5.5056390000000004"/>
    <n v="9.8814130000000002"/>
    <n v="13.637333999999999"/>
    <n v="12.000265000000001"/>
    <n v="15.315545"/>
    <n v="0"/>
  </r>
  <r>
    <x v="0"/>
    <x v="27"/>
    <n v="602.88170000000002"/>
    <n v="0.28339599999999998"/>
    <n v="0.31299500000000002"/>
    <n v="0.38823200000000002"/>
    <n v="0.36971199999999999"/>
    <n v="5.0225799999999996"/>
    <n v="3.4192339999999999"/>
    <n v="9.2454059999999991"/>
    <n v="12.542108000000001"/>
    <n v="16.495049999999999"/>
    <n v="13.737612"/>
    <n v="17.417210000000001"/>
    <n v="13.916829999999999"/>
  </r>
  <r>
    <x v="0"/>
    <x v="28"/>
    <n v="171.37"/>
    <n v="0.45309300000000002"/>
    <n v="0.55154599999999998"/>
    <n v="7.0072999999999996E-2"/>
    <n v="0.92501599999999995"/>
    <n v="4.8326909999999996"/>
    <n v="2.3471090000000001"/>
    <n v="4.9353990000000003"/>
    <n v="12.108283999999999"/>
    <n v="15.604213"/>
    <n v="13.255280000000001"/>
    <n v="14.123931000000001"/>
    <n v="10.673422"/>
  </r>
  <r>
    <x v="0"/>
    <x v="29"/>
    <n v="25.47"/>
    <n v="0.46893299999999999"/>
    <n v="0.236128"/>
    <n v="0.235018"/>
    <n v="1.8875189999999999"/>
    <n v="2.9923169999999999"/>
    <n v="0.59241699999999997"/>
    <n v="4.5566500000000003"/>
    <n v="9.7834760000000003"/>
    <n v="13.757885"/>
    <n v="10.700804"/>
    <n v="14.068218"/>
    <n v="0"/>
  </r>
  <r>
    <x v="0"/>
    <x v="30"/>
    <n v="311.01560000000001"/>
    <n v="0.40084199999999998"/>
    <n v="6.8170000000000001E-3"/>
    <n v="0.118535"/>
    <n v="0.35508299999999998"/>
    <n v="4.4931830000000001"/>
    <n v="1.889413"/>
    <n v="8.9057309999999994"/>
    <n v="11.426330999999999"/>
    <n v="14.412246"/>
    <n v="10.90663"/>
    <n v="14.507795"/>
    <n v="13.513068000000001"/>
  </r>
  <r>
    <x v="0"/>
    <x v="31"/>
    <n v="16.14"/>
    <n v="0.35806900000000003"/>
    <n v="4.3388999999999997E-2"/>
    <n v="0.296516"/>
    <n v="0.70136600000000004"/>
    <n v="5.1328820000000004"/>
    <n v="2.84185"/>
    <n v="8.8407850000000003"/>
    <n v="16.482505"/>
    <n v="19.231103000000001"/>
    <n v="0"/>
    <n v="0"/>
    <n v="0"/>
  </r>
  <r>
    <x v="1"/>
    <x v="32"/>
    <n v="15.776199999999999"/>
    <n v="0.51018200000000002"/>
    <n v="0.270121"/>
    <n v="9.6888000000000002E-2"/>
    <n v="1.4726459999999999"/>
    <n v="2.8368419999999999"/>
    <n v="0.56413599999999997"/>
    <n v="1.939119"/>
    <n v="15.242093000000001"/>
    <n v="0"/>
    <n v="0"/>
    <n v="0"/>
    <n v="0"/>
  </r>
  <r>
    <x v="1"/>
    <x v="33"/>
    <n v="2113.46"/>
    <n v="0.38132500000000003"/>
    <n v="6.2418000000000001E-2"/>
    <n v="0.44771"/>
    <n v="7.3758000000000004E-2"/>
    <n v="6.836449"/>
    <n v="4.2263380000000002"/>
    <n v="11.336111000000001"/>
    <n v="16.284361000000001"/>
    <n v="19.468910000000001"/>
    <n v="14.724658"/>
    <n v="17.676632999999999"/>
    <n v="15.919178"/>
  </r>
  <r>
    <x v="1"/>
    <x v="34"/>
    <n v="29.52"/>
    <n v="0.43844899999999998"/>
    <n v="0.27173900000000001"/>
    <n v="0.50556100000000004"/>
    <n v="1.9269099999999999"/>
    <n v="0.957592"/>
    <n v="1.0392220000000001"/>
    <n v="2.5"/>
    <n v="13.726616999999999"/>
    <n v="15.736050000000001"/>
    <n v="9.9353870000000004"/>
    <n v="13.491042"/>
    <n v="0"/>
  </r>
  <r>
    <x v="1"/>
    <x v="35"/>
    <n v="15.393000000000001"/>
    <n v="0.51702999999999999"/>
    <n v="3.8994000000000001E-2"/>
    <n v="6.5006999999999995E-2"/>
    <n v="2.1175120000000001"/>
    <n v="3.5310730000000001"/>
    <n v="1.7315449999999999"/>
    <n v="7.7337629999999997"/>
    <n v="18.259623000000001"/>
    <n v="0"/>
    <n v="0"/>
    <n v="0"/>
    <n v="0"/>
  </r>
  <r>
    <x v="1"/>
    <x v="36"/>
    <n v="235.92500000000001"/>
    <n v="0.39685100000000001"/>
    <n v="0.30014600000000002"/>
    <n v="0.185308"/>
    <n v="0.54213299999999998"/>
    <n v="4.8071109999999999"/>
    <n v="2.3207300000000002"/>
    <n v="9.6346520000000009"/>
    <n v="13.744486"/>
    <n v="17.057713"/>
    <n v="12.807001"/>
    <n v="16.476405"/>
    <n v="12.383319"/>
  </r>
  <r>
    <x v="1"/>
    <x v="37"/>
    <n v="38.36"/>
    <n v="0.285937"/>
    <n v="0.57682199999999995"/>
    <n v="0.94736799999999999"/>
    <n v="0.90415900000000005"/>
    <n v="2.7867099999999998"/>
    <n v="2.5120260000000001"/>
    <n v="0.285937"/>
    <n v="15.258694"/>
    <n v="23.24184"/>
    <n v="17.550550000000001"/>
    <n v="22.923321999999999"/>
    <n v="0"/>
  </r>
  <r>
    <x v="1"/>
    <x v="38"/>
    <n v="16.506399999999999"/>
    <n v="0.220638"/>
    <n v="0.44910699999999998"/>
    <n v="0.26849400000000001"/>
    <n v="1.7365060000000001"/>
    <n v="4.9344570000000001"/>
    <n v="0.92817899999999998"/>
    <n v="2.3614630000000001"/>
    <n v="12.868607000000001"/>
    <n v="17.935737"/>
    <n v="0"/>
    <n v="0"/>
    <n v="0"/>
  </r>
  <r>
    <x v="1"/>
    <x v="39"/>
    <n v="393.57"/>
    <n v="0.37968000000000002"/>
    <n v="0.37234400000000001"/>
    <n v="5.0819999999999997E-3"/>
    <n v="1.0110920000000001"/>
    <n v="3.5165700000000002"/>
    <n v="1.7897320000000001"/>
    <n v="7.9812339999999997"/>
    <n v="14.392378000000001"/>
    <n v="17.238545999999999"/>
    <n v="13.073130000000001"/>
    <n v="16.849492999999999"/>
    <n v="15.447528"/>
  </r>
  <r>
    <x v="1"/>
    <x v="40"/>
    <n v="117.014"/>
    <n v="0.46274999999999999"/>
    <n v="1.1110999999999999E-2"/>
    <n v="0.139958"/>
    <n v="0.71021900000000004"/>
    <n v="3.9533070000000001"/>
    <n v="1.0396339999999999"/>
    <n v="5.481687"/>
    <n v="13.154866"/>
    <n v="19.245301000000001"/>
    <n v="13.516342"/>
    <n v="17.187735"/>
    <n v="15.621477000000001"/>
  </r>
  <r>
    <x v="1"/>
    <x v="41"/>
    <n v="46.119"/>
    <n v="0.34357599999999999"/>
    <n v="0.35032000000000002"/>
    <n v="0.47712399999999999"/>
    <n v="0.24010400000000001"/>
    <n v="6.0036319999999996"/>
    <n v="3.6638269999999999"/>
    <n v="6.0816559999999997"/>
    <n v="17.061339"/>
    <n v="21.349920999999998"/>
    <n v="16.820526000000001"/>
    <n v="20.502867999999999"/>
    <n v="16.649038999999998"/>
  </r>
  <r>
    <x v="1"/>
    <x v="42"/>
    <n v="1858.1522"/>
    <n v="0.25506400000000001"/>
    <n v="0.13603499999999999"/>
    <n v="0.28267900000000001"/>
    <n v="1.154614"/>
    <n v="4.1194819999999996"/>
    <n v="8.0881999999999996E-2"/>
    <n v="4.0863019999999999"/>
    <n v="13.779871"/>
    <n v="19.097957000000001"/>
    <n v="16.148848000000001"/>
    <n v="20.756038"/>
    <n v="15.37608"/>
  </r>
  <r>
    <x v="1"/>
    <x v="43"/>
    <n v="2259.64"/>
    <n v="0.29822599999999999"/>
    <n v="0.14399100000000001"/>
    <n v="0.57827799999999996"/>
    <n v="1.0776380000000001"/>
    <n v="2.7924419999999999"/>
    <n v="3.4542280000000001"/>
    <n v="11.406544"/>
    <n v="18.323972999999999"/>
    <n v="22.412572999999998"/>
    <n v="21.940491000000002"/>
    <n v="24.698791"/>
    <n v="17.409683000000001"/>
  </r>
  <r>
    <x v="1"/>
    <x v="44"/>
    <n v="15.51"/>
    <n v="0.44929400000000003"/>
    <n v="0.25856499999999999"/>
    <n v="0.12878300000000001"/>
    <n v="2.0214780000000001"/>
    <n v="3.4"/>
    <n v="5.8703070000000004"/>
    <n v="7.0393369999999997"/>
    <n v="18.514330999999999"/>
    <n v="0"/>
    <n v="0"/>
    <n v="0"/>
    <n v="0"/>
  </r>
  <r>
    <x v="1"/>
    <x v="45"/>
    <n v="247.3168"/>
    <n v="0.62569799999999998"/>
    <n v="0.47814299999999998"/>
    <n v="0.41017999999999999"/>
    <n v="1.3438349999999999"/>
    <n v="2.5831529999999998"/>
    <n v="0.11813"/>
    <n v="1.7969459999999999"/>
    <n v="15.568390000000001"/>
    <n v="20.791474000000001"/>
    <n v="14.784435999999999"/>
    <n v="18.380593000000001"/>
    <n v="14.672825"/>
  </r>
  <r>
    <x v="1"/>
    <x v="46"/>
    <n v="20.81"/>
    <n v="0.57333999999999996"/>
    <n v="0.430622"/>
    <n v="0.76299499999999998"/>
    <n v="1.6075649999999999"/>
    <n v="2.714709"/>
    <n v="6.827515"/>
    <n v="9.6417280000000005"/>
    <n v="17.033555"/>
    <n v="20.983422000000001"/>
    <n v="18.342072999999999"/>
    <n v="0"/>
    <n v="0"/>
  </r>
  <r>
    <x v="1"/>
    <x v="47"/>
    <n v="19.98"/>
    <n v="0.59701499999999996"/>
    <n v="0.19980000000000001"/>
    <n v="0.59701499999999996"/>
    <n v="2.6790060000000002"/>
    <n v="0.40200999999999998"/>
    <n v="0.89285700000000001"/>
    <n v="0.96008099999999996"/>
    <n v="17.942809"/>
    <n v="23.405135999999999"/>
    <n v="0"/>
    <n v="0"/>
    <n v="0"/>
  </r>
  <r>
    <x v="1"/>
    <x v="48"/>
    <n v="19.1797"/>
    <n v="0.16916300000000001"/>
    <n v="0.62115399999999998"/>
    <n v="0.76494300000000004"/>
    <n v="0.38123699999999999"/>
    <n v="4.9625399999999997"/>
    <n v="2.1419250000000001"/>
    <n v="3.888007"/>
    <n v="15.962785999999999"/>
    <n v="0"/>
    <n v="0"/>
    <n v="0"/>
    <n v="0"/>
  </r>
  <r>
    <x v="1"/>
    <x v="49"/>
    <n v="110.9179"/>
    <n v="0.44715300000000002"/>
    <n v="2.0281E-2"/>
    <n v="3.5149E-2"/>
    <n v="2.068762"/>
    <n v="0.62670599999999999"/>
    <n v="1.1535280000000001"/>
    <n v="5.4826550000000003"/>
    <n v="13.687697999999999"/>
    <n v="22.072873000000001"/>
    <n v="19.037191"/>
    <n v="21.722422999999999"/>
    <n v="18.120491000000001"/>
  </r>
  <r>
    <x v="1"/>
    <x v="50"/>
    <n v="98.106999999999999"/>
    <n v="0.355485"/>
    <n v="0.38164799999999999"/>
    <n v="0.19404199999999999"/>
    <n v="1.173543"/>
    <n v="4.0271869999999996"/>
    <n v="0.83975699999999998"/>
    <n v="9.0295839999999998"/>
    <n v="14.460578"/>
    <n v="17.763300999999998"/>
    <n v="15.03693"/>
    <n v="17.140395000000002"/>
    <n v="15.51562"/>
  </r>
  <r>
    <x v="1"/>
    <x v="51"/>
    <n v="112.7881"/>
    <n v="0.37196600000000002"/>
    <n v="0.53526399999999996"/>
    <n v="0.80311399999999999"/>
    <n v="1.8971169999999999"/>
    <n v="3.4402080000000002"/>
    <n v="6.2318930000000003"/>
    <n v="2.6683849999999998"/>
    <n v="11.917695"/>
    <n v="17.337337999999999"/>
    <n v="12.557694"/>
    <n v="14.045540000000001"/>
    <n v="11.45106"/>
  </r>
  <r>
    <x v="1"/>
    <x v="52"/>
    <n v="17.9438"/>
    <n v="0.44054300000000002"/>
    <n v="0.124432"/>
    <n v="0.20077999999999999"/>
    <n v="0.77417400000000003"/>
    <n v="4.1851010000000004"/>
    <n v="1.4909330000000001"/>
    <n v="7.9099139999999997"/>
    <n v="13.157762"/>
    <n v="19.288453000000001"/>
    <n v="15.530730999999999"/>
    <n v="0"/>
    <n v="0"/>
  </r>
  <r>
    <x v="1"/>
    <x v="53"/>
    <n v="17.132000000000001"/>
    <n v="0.30840800000000002"/>
    <n v="0.34557500000000002"/>
    <n v="0.52810699999999999"/>
    <n v="0.46479199999999998"/>
    <n v="6.212027"/>
    <n v="4.6229009999999997"/>
    <n v="9.0099260000000001"/>
    <n v="14.999002000000001"/>
    <n v="0"/>
    <n v="0"/>
    <n v="0"/>
    <n v="0"/>
  </r>
  <r>
    <x v="1"/>
    <x v="54"/>
    <n v="67.279200000000003"/>
    <n v="0.75935900000000001"/>
    <n v="0.99258800000000003"/>
    <n v="0.93091900000000005"/>
    <n v="3.1985990000000002"/>
    <n v="0.53210299999999999"/>
    <n v="3.1933060000000002"/>
    <n v="3.6436259999999998"/>
    <n v="18.495609999999999"/>
    <n v="23.153846000000001"/>
    <n v="16.699245999999999"/>
    <n v="16.529947"/>
    <n v="14.309685"/>
  </r>
  <r>
    <x v="1"/>
    <x v="55"/>
    <n v="27.188199999999998"/>
    <n v="0.62065899999999996"/>
    <n v="8.6509000000000003E-2"/>
    <n v="0.34990100000000002"/>
    <n v="0.49517800000000001"/>
    <n v="4.7743099999999998"/>
    <n v="4.2476339999999997"/>
    <n v="6.115615"/>
    <n v="10.536867000000001"/>
    <n v="15.290851999999999"/>
    <n v="12.477574000000001"/>
    <n v="16.505466999999999"/>
    <n v="0"/>
  </r>
  <r>
    <x v="1"/>
    <x v="56"/>
    <n v="17.9498"/>
    <n v="0.36081400000000002"/>
    <n v="0.13611999999999999"/>
    <n v="4.1243000000000002E-2"/>
    <n v="0.72836900000000004"/>
    <n v="2.8712580000000001"/>
    <n v="1.3374429999999999"/>
    <n v="3.468988"/>
    <n v="10.831631"/>
    <n v="18.233713999999999"/>
    <n v="14.002742"/>
    <n v="0"/>
    <n v="0"/>
  </r>
  <r>
    <x v="1"/>
    <x v="57"/>
    <n v="13.8"/>
    <n v="0.43290000000000001"/>
    <n v="7.2411000000000003E-2"/>
    <n v="0.43290000000000001"/>
    <n v="0.71942399999999995"/>
    <n v="0.50983199999999995"/>
    <n v="7.2515999999999997E-2"/>
    <n v="1.1461319999999999"/>
    <n v="6.9217389999999996"/>
    <n v="0"/>
    <n v="0"/>
    <n v="0"/>
    <n v="0"/>
  </r>
  <r>
    <x v="1"/>
    <x v="58"/>
    <n v="95.048199999999994"/>
    <n v="0.31035000000000001"/>
    <n v="0.669377"/>
    <n v="0.30657099999999998"/>
    <n v="5.5581999999999999E-2"/>
    <n v="2.633426"/>
    <n v="2.5650930000000001"/>
    <n v="8.5600140000000007"/>
    <n v="16.650970000000001"/>
    <n v="23.09215"/>
    <n v="15.487723000000001"/>
    <n v="21.079587"/>
    <n v="18.349796999999999"/>
  </r>
  <r>
    <x v="1"/>
    <x v="59"/>
    <n v="43.24"/>
    <n v="0.41455599999999998"/>
    <n v="0.18535699999999999"/>
    <n v="0.27675300000000003"/>
    <n v="1.5258480000000001"/>
    <n v="2.8788960000000001"/>
    <n v="1.217228"/>
    <n v="5.5921859999999999"/>
    <n v="11.911314000000001"/>
    <n v="14.984207"/>
    <n v="10.237322000000001"/>
    <n v="16.466753000000001"/>
    <n v="15.673495000000001"/>
  </r>
  <r>
    <x v="1"/>
    <x v="60"/>
    <n v="110.4585"/>
    <n v="0.241227"/>
    <n v="0.25969300000000001"/>
    <n v="0.39065100000000003"/>
    <n v="1.185592"/>
    <n v="3.250095"/>
    <n v="1.0613140000000001"/>
    <n v="4.8912899999999997"/>
    <n v="11.955266999999999"/>
    <n v="17.830334000000001"/>
    <n v="16.542717"/>
    <n v="23.700723"/>
    <n v="19.726109999999998"/>
  </r>
  <r>
    <x v="1"/>
    <x v="61"/>
    <n v="10.44"/>
    <n v="0.76045600000000002"/>
    <n v="0.48123199999999999"/>
    <n v="0.57803499999999997"/>
    <n v="0.76045600000000002"/>
    <n v="0.94876700000000003"/>
    <n v="8.2601049999999994"/>
    <n v="17.274168"/>
    <n v="6.4094899999999999"/>
    <n v="3.4855719999999999"/>
    <n v="0"/>
    <n v="0"/>
    <n v="0"/>
  </r>
  <r>
    <x v="1"/>
    <x v="62"/>
    <n v="126.28230000000001"/>
    <n v="0.49428899999999998"/>
    <n v="0.23160500000000001"/>
    <n v="3.7124999999999998E-2"/>
    <n v="0.25118400000000002"/>
    <n v="4.2550790000000003"/>
    <n v="3.308208"/>
    <n v="5.5838530000000004"/>
    <n v="11.368224"/>
    <n v="15.135439"/>
    <n v="11.924066"/>
    <n v="15.635887"/>
    <n v="14.023842999999999"/>
  </r>
  <r>
    <x v="1"/>
    <x v="63"/>
    <n v="23.3048"/>
    <n v="0.45745999999999998"/>
    <n v="0.39027800000000001"/>
    <n v="0.32761200000000001"/>
    <n v="1.251266"/>
    <n v="4.8207620000000002"/>
    <n v="1.504837"/>
    <n v="4.1538490000000001"/>
    <n v="6.3560819999999998"/>
    <n v="13.172713999999999"/>
    <n v="11.336942000000001"/>
    <n v="13.211074"/>
    <n v="0"/>
  </r>
  <r>
    <x v="1"/>
    <x v="64"/>
    <n v="16.0288"/>
    <n v="0.27933799999999998"/>
    <n v="0.41283199999999998"/>
    <n v="0.103046"/>
    <n v="0.41130800000000001"/>
    <n v="4.4697909999999998"/>
    <n v="3.2916609999999999"/>
    <n v="8.1266320000000007"/>
    <n v="12.897129"/>
    <n v="16.942138"/>
    <n v="0"/>
    <n v="0"/>
    <n v="0"/>
  </r>
  <r>
    <x v="1"/>
    <x v="65"/>
    <n v="27.7636"/>
    <n v="0.32347599999999999"/>
    <n v="0.169212"/>
    <n v="0.27442499999999997"/>
    <n v="0.39821200000000001"/>
    <n v="3.587405"/>
    <n v="1.0905149999999999"/>
    <n v="11.692836"/>
    <n v="13.141641"/>
    <n v="18.477405000000001"/>
    <n v="13.353865000000001"/>
    <n v="15.935786999999999"/>
    <n v="0"/>
  </r>
  <r>
    <x v="1"/>
    <x v="66"/>
    <n v="234.15"/>
    <n v="0.49296699999999999"/>
    <n v="0.372942"/>
    <n v="0.23009099999999999"/>
    <n v="2.241984"/>
    <n v="2.0128089999999998"/>
    <n v="1.344063"/>
    <n v="1.0647740000000001"/>
    <n v="8.4394650000000002"/>
    <n v="14.56091"/>
    <n v="11.974905"/>
    <n v="13.783944"/>
    <n v="10.111893999999999"/>
  </r>
  <r>
    <x v="1"/>
    <x v="67"/>
    <n v="11.83"/>
    <n v="0.420875"/>
    <n v="0.42444799999999999"/>
    <n v="0.33927099999999999"/>
    <n v="2.0695359999999998"/>
    <n v="3.3187769999999999"/>
    <n v="0.33927099999999999"/>
    <n v="2.793755"/>
    <n v="0"/>
    <n v="0"/>
    <n v="0"/>
    <n v="0"/>
    <n v="0"/>
  </r>
  <r>
    <x v="1"/>
    <x v="68"/>
    <n v="58.08"/>
    <n v="0.56497200000000003"/>
    <n v="0.120669"/>
    <n v="0.224331"/>
    <n v="0.65001699999999996"/>
    <n v="3.125"/>
    <n v="1.008696"/>
    <n v="3.7884199999999999"/>
    <n v="11.440706"/>
    <n v="16.731911"/>
    <n v="12.788102"/>
    <n v="17.333003999999999"/>
    <n v="14.380874"/>
  </r>
  <r>
    <x v="1"/>
    <x v="69"/>
    <n v="345.06670000000003"/>
    <n v="0.65294399999999997"/>
    <n v="0.46251500000000001"/>
    <n v="1.2219770000000001"/>
    <n v="2.3097720000000002"/>
    <n v="0.30641299999999999"/>
    <n v="2.1933370000000001"/>
    <n v="1.712747"/>
    <n v="8.9515480000000007"/>
    <n v="12.341626"/>
    <n v="6.2855369999999997"/>
    <n v="11.239089"/>
    <n v="13.180229000000001"/>
  </r>
  <r>
    <x v="1"/>
    <x v="70"/>
    <n v="18.631"/>
    <n v="0.47542699999999999"/>
    <n v="4.8283E-2"/>
    <n v="0.390291"/>
    <n v="1.7766770000000001"/>
    <n v="4.241034"/>
    <n v="2.2726030000000002"/>
    <n v="5.9542770000000003"/>
    <n v="15.862306999999999"/>
    <n v="21.597726000000002"/>
    <n v="0"/>
    <n v="0"/>
    <n v="0"/>
  </r>
  <r>
    <x v="2"/>
    <x v="71"/>
    <n v="896.5"/>
    <n v="0.36674800000000002"/>
    <n v="7.4678999999999995E-2"/>
    <n v="0.45943499999999998"/>
    <n v="0.40659400000000001"/>
    <n v="4.7264150000000003"/>
    <n v="1.4140269999999999"/>
    <n v="5.1267620000000003"/>
    <n v="14.625672"/>
    <n v="22.684760000000001"/>
    <n v="15.658656000000001"/>
    <n v="25.752113000000001"/>
    <n v="14.784205"/>
  </r>
  <r>
    <x v="2"/>
    <x v="72"/>
    <n v="131.99"/>
    <n v="0.39994000000000002"/>
    <n v="1.5155E-2"/>
    <n v="0.15129699999999999"/>
    <n v="1.9536469999999999"/>
    <n v="1.9700249999999999"/>
    <n v="0.52754500000000004"/>
    <n v="2.3972069999999999"/>
    <n v="16.559660000000001"/>
    <n v="20.873166000000001"/>
    <n v="14.778476"/>
    <n v="19.473300999999999"/>
    <n v="17.746987000000001"/>
  </r>
  <r>
    <x v="2"/>
    <x v="73"/>
    <n v="18.286000000000001"/>
    <n v="0.60335899999999998"/>
    <n v="0.40305000000000002"/>
    <n v="0.49518400000000001"/>
    <n v="2.5733920000000001"/>
    <n v="1.6001780000000001"/>
    <n v="0.71601700000000001"/>
    <n v="1.396603"/>
    <n v="15.368359999999999"/>
    <n v="23.226998999999999"/>
    <n v="0"/>
    <n v="0"/>
    <n v="0"/>
  </r>
  <r>
    <x v="2"/>
    <x v="74"/>
    <n v="124.8134"/>
    <n v="0.32279799999999997"/>
    <n v="3.6360999999999997E-2"/>
    <n v="8.1415000000000001E-2"/>
    <n v="1.0531010000000001"/>
    <n v="5.4116479999999996"/>
    <n v="4.1331759999999997"/>
    <n v="3.7909570000000001"/>
    <n v="16.93873"/>
    <n v="22.719456000000001"/>
    <n v="18.559365"/>
    <n v="23.03952"/>
    <n v="16.909483000000002"/>
  </r>
  <r>
    <x v="2"/>
    <x v="75"/>
    <n v="17.989999999999998"/>
    <n v="0.38759700000000002"/>
    <n v="0"/>
    <n v="0.60773500000000003"/>
    <n v="2.1218720000000002"/>
    <n v="2.1578650000000001"/>
    <n v="0.22284100000000001"/>
    <n v="5.2046780000000004"/>
    <n v="17.040575"/>
    <n v="22.354486999999999"/>
    <n v="0"/>
    <n v="0"/>
    <n v="0"/>
  </r>
  <r>
    <x v="2"/>
    <x v="76"/>
    <n v="165.958"/>
    <n v="0.51791699999999996"/>
    <n v="0.37279600000000002"/>
    <n v="0.303371"/>
    <n v="1.6032059999999999"/>
    <n v="3.0801430000000001"/>
    <n v="1.6662790000000001"/>
    <n v="2.6421579999999998"/>
    <n v="13.189792000000001"/>
    <n v="21.475436999999999"/>
    <n v="14.851115999999999"/>
    <n v="17.417266000000001"/>
    <n v="15.880209000000001"/>
  </r>
  <r>
    <x v="2"/>
    <x v="77"/>
    <n v="122.14400000000001"/>
    <n v="0.32234600000000002"/>
    <n v="0.18290500000000001"/>
    <n v="0.39617999999999998"/>
    <n v="0.60462099999999996"/>
    <n v="5.8100959999999997"/>
    <n v="2.0230199999999998"/>
    <n v="5.0086830000000004"/>
    <n v="21.903986"/>
    <n v="27.994109000000002"/>
    <n v="21.798202"/>
    <n v="27.231686"/>
    <n v="19.783761999999999"/>
  </r>
  <r>
    <x v="2"/>
    <x v="78"/>
    <n v="3160.6545999999998"/>
    <n v="0.20097100000000001"/>
    <n v="0.12670400000000001"/>
    <n v="0.66094699999999995"/>
    <n v="0.70159300000000002"/>
    <n v="5.1597869999999997"/>
    <n v="0.95190399999999997"/>
    <n v="2.6908660000000002"/>
    <n v="17.449086999999999"/>
    <n v="23.815861999999999"/>
    <n v="18.473500000000001"/>
    <n v="21.340803000000001"/>
    <n v="16.413575000000002"/>
  </r>
  <r>
    <x v="2"/>
    <x v="79"/>
    <n v="222.77600000000001"/>
    <n v="0.32705899999999999"/>
    <n v="0.60411400000000004"/>
    <n v="0.27842699999999998"/>
    <n v="1.540257"/>
    <n v="6.0116209999999999"/>
    <n v="4.1832099999999999"/>
    <n v="7.2162170000000003"/>
    <n v="18.280764999999999"/>
    <n v="26.799876999999999"/>
    <n v="23.580936000000001"/>
    <n v="26.530083000000001"/>
    <n v="19.132438"/>
  </r>
  <r>
    <x v="2"/>
    <x v="80"/>
    <n v="457.05709999999999"/>
    <n v="0.54620899999999994"/>
    <n v="0.19178700000000001"/>
    <n v="0.76223600000000002"/>
    <n v="1.261385"/>
    <n v="4.2684740000000003"/>
    <n v="3.2695759999999998"/>
    <n v="0.11562799999999999"/>
    <n v="19.516583000000001"/>
    <n v="26.507237"/>
    <n v="20.15802"/>
    <n v="22.043880999999999"/>
    <n v="17.42998"/>
  </r>
  <r>
    <x v="2"/>
    <x v="81"/>
    <n v="352.45"/>
    <n v="0.152979"/>
    <n v="0.87869900000000001"/>
    <n v="1.055137"/>
    <n v="0.487541"/>
    <n v="7.5887539999999998"/>
    <n v="4.038138"/>
    <n v="10.527471"/>
    <n v="20.442485999999999"/>
    <n v="25.040856000000002"/>
    <n v="19.467645000000001"/>
    <n v="24.068418000000001"/>
    <n v="17.217158999999999"/>
  </r>
  <r>
    <x v="2"/>
    <x v="82"/>
    <n v="221.27"/>
    <n v="0.43646499999999999"/>
    <n v="0.57068399999999997"/>
    <n v="0.82470500000000002"/>
    <n v="2.811086"/>
    <n v="3.8533750000000002"/>
    <n v="2.568025"/>
    <n v="7.0281510000000003"/>
    <n v="25.680318"/>
    <n v="29.044687"/>
    <n v="21.890643000000001"/>
    <n v="25.969234"/>
    <n v="19.958912000000002"/>
  </r>
  <r>
    <x v="2"/>
    <x v="83"/>
    <n v="24.297899999999998"/>
    <n v="0.115104"/>
    <n v="1.1371629999999999"/>
    <n v="1.948518"/>
    <n v="1.213838"/>
    <n v="8.1931080000000005"/>
    <n v="4.4042640000000004"/>
    <n v="5.8298560000000004"/>
    <n v="19.057359999999999"/>
    <n v="27.079858999999999"/>
    <n v="20.849819"/>
    <n v="0"/>
    <n v="0"/>
  </r>
  <r>
    <x v="2"/>
    <x v="84"/>
    <n v="19.962800000000001"/>
    <n v="0.27276299999999998"/>
    <n v="6.7169999999999994E-2"/>
    <n v="0.40709600000000001"/>
    <n v="3.2838189999999998"/>
    <n v="0.22643199999999999"/>
    <n v="9.7086000000000006E-2"/>
    <n v="0.99192599999999997"/>
    <n v="16.629522999999999"/>
    <n v="26.581211"/>
    <n v="0"/>
    <n v="0"/>
    <n v="0"/>
  </r>
  <r>
    <x v="2"/>
    <x v="85"/>
    <n v="158.50299999999999"/>
    <n v="0.48282199999999997"/>
    <n v="0.33168999999999998"/>
    <n v="0.19026299999999999"/>
    <n v="1.0926400000000001"/>
    <n v="1.805488"/>
    <n v="1.1357619999999999"/>
    <n v="2.8799350000000001"/>
    <n v="18.275846000000001"/>
    <n v="23.072713"/>
    <n v="19.086158000000001"/>
    <n v="24.357901999999999"/>
    <n v="19.285018000000001"/>
  </r>
  <r>
    <x v="2"/>
    <x v="86"/>
    <n v="32.808700000000002"/>
    <n v="0.50402000000000002"/>
    <n v="2.1027000000000001E-2"/>
    <n v="0.68805700000000003"/>
    <n v="1.162836"/>
    <n v="3.0378690000000002"/>
    <n v="0.94978499999999999"/>
    <n v="7.7784000000000006E-2"/>
    <n v="14.900385999999999"/>
    <n v="21.654299000000002"/>
    <n v="15.321764"/>
    <n v="19.437749"/>
    <n v="0"/>
  </r>
  <r>
    <x v="2"/>
    <x v="87"/>
    <n v="38.2044"/>
    <n v="0.19775300000000001"/>
    <n v="0.29770799999999997"/>
    <n v="0.61255999999999999"/>
    <n v="1.475886"/>
    <n v="4.6108349999999998"/>
    <n v="1.113175"/>
    <n v="2.097569"/>
    <n v="16.739056999999999"/>
    <n v="26.710705999999998"/>
    <n v="20.313842999999999"/>
    <n v="25.714272999999999"/>
    <n v="0"/>
  </r>
  <r>
    <x v="2"/>
    <x v="88"/>
    <n v="41.101999999999997"/>
    <n v="6.0787000000000001E-2"/>
    <n v="4.1377999999999998E-2"/>
    <n v="0.39018000000000003"/>
    <n v="1.1971149999999999"/>
    <n v="5.5683980000000002"/>
    <n v="5.1551669999999996"/>
    <n v="9.1918600000000001"/>
    <n v="15.82253"/>
    <n v="22.278048999999999"/>
    <n v="18.255965"/>
    <n v="23.877033000000001"/>
    <n v="0"/>
  </r>
  <r>
    <x v="2"/>
    <x v="89"/>
    <n v="113.91200000000001"/>
    <n v="0.79607300000000003"/>
    <n v="1.392906"/>
    <n v="1.282071"/>
    <n v="4.2167919999999999"/>
    <n v="0.23227100000000001"/>
    <n v="3.672409"/>
    <n v="10.083766000000001"/>
    <n v="18.877675"/>
    <n v="27.202817"/>
    <n v="23.396615000000001"/>
    <n v="29.452368"/>
    <n v="18.67887"/>
  </r>
  <r>
    <x v="2"/>
    <x v="90"/>
    <n v="4629.2195000000002"/>
    <n v="0.26558799999999999"/>
    <n v="0.22562399999999999"/>
    <n v="6.6267000000000006E-2"/>
    <n v="1.3473679999999999"/>
    <n v="3.5654840000000001"/>
    <n v="0.99649699999999997"/>
    <n v="4.4398860000000004"/>
    <n v="16.475988000000001"/>
    <n v="26.319747"/>
    <n v="21.454235000000001"/>
    <n v="26.044892000000001"/>
    <n v="18.991085999999999"/>
  </r>
  <r>
    <x v="2"/>
    <x v="91"/>
    <n v="74.34"/>
    <n v="0.33516600000000002"/>
    <n v="0.37807200000000002"/>
    <n v="0.13433600000000001"/>
    <n v="2.2742209999999998"/>
    <n v="0.120919"/>
    <n v="1.7186669999999999"/>
    <n v="1.377335"/>
    <n v="11.74043"/>
    <n v="15.256043"/>
    <n v="11.978918999999999"/>
    <n v="21.054981000000002"/>
    <n v="16.858837000000001"/>
  </r>
  <r>
    <x v="2"/>
    <x v="92"/>
    <n v="236.98480000000001"/>
    <n v="0.28116600000000003"/>
    <n v="9.1579999999999995E-3"/>
    <n v="0.47360000000000002"/>
    <n v="1.506343"/>
    <n v="3.1521309999999998"/>
    <n v="3.7907649999999999"/>
    <n v="2.876595"/>
    <n v="8.5041510000000002"/>
    <n v="17.564463"/>
    <n v="17.846074999999999"/>
    <n v="24.181507"/>
    <n v="18.052859000000002"/>
  </r>
  <r>
    <x v="2"/>
    <x v="93"/>
    <n v="263.19510000000002"/>
    <n v="0.124126"/>
    <n v="0.30587799999999998"/>
    <n v="0.23230600000000001"/>
    <n v="0.96139200000000002"/>
    <n v="4.6023509999999996"/>
    <n v="1.215055"/>
    <n v="0.82384400000000002"/>
    <n v="10.995257000000001"/>
    <n v="18.74888"/>
    <n v="15.182632999999999"/>
    <n v="21.970141999999999"/>
    <n v="15.470726000000001"/>
  </r>
  <r>
    <x v="2"/>
    <x v="94"/>
    <n v="1567.4290000000001"/>
    <n v="0.42753600000000003"/>
    <n v="0.15409400000000001"/>
    <n v="0.284912"/>
    <n v="1.0194479999999999"/>
    <n v="5.567914"/>
    <n v="3.8848120000000002"/>
    <n v="4.9328010000000004"/>
    <n v="18.894926000000002"/>
    <n v="25.670677999999999"/>
    <n v="20.968707999999999"/>
    <n v="24.152505000000001"/>
    <n v="16.075203999999999"/>
  </r>
  <r>
    <x v="2"/>
    <x v="95"/>
    <n v="512.44680000000005"/>
    <n v="0.26975700000000002"/>
    <n v="6.4239000000000004E-2"/>
    <n v="0.51415599999999995"/>
    <n v="0.59738899999999995"/>
    <n v="6.2988780000000002"/>
    <n v="4.5559719999999997"/>
    <n v="7.0839020000000001"/>
    <n v="15.69955"/>
    <n v="24.035442"/>
    <n v="18.302941000000001"/>
    <n v="22.480452"/>
    <n v="17.126573"/>
  </r>
  <r>
    <x v="2"/>
    <x v="96"/>
    <n v="127.3"/>
    <n v="0.31323400000000001"/>
    <n v="0.55464400000000003"/>
    <n v="0.75621700000000003"/>
    <n v="2.4221979999999999"/>
    <n v="1.3212349999999999"/>
    <n v="2.1822650000000001"/>
    <n v="1.4019440000000001"/>
    <n v="7.2356629999999997"/>
    <n v="17.129726999999999"/>
    <n v="14.563426"/>
    <n v="17.759847000000001"/>
    <n v="15.289258999999999"/>
  </r>
  <r>
    <x v="2"/>
    <x v="97"/>
    <n v="52.41"/>
    <n v="0.56915199999999999"/>
    <n v="0.474744"/>
    <n v="0.133741"/>
    <n v="1.2994349999999999"/>
    <n v="3.4952610000000002"/>
    <n v="2.3632810000000002"/>
    <n v="3.7616309999999999"/>
    <n v="16.63213"/>
    <n v="22.153414000000001"/>
    <n v="16.563396000000001"/>
    <n v="22.945542"/>
    <n v="0"/>
  </r>
  <r>
    <x v="2"/>
    <x v="98"/>
    <n v="337.6216"/>
    <n v="0.439882"/>
    <n v="0.41298200000000002"/>
    <n v="0.20044400000000001"/>
    <n v="1.73953"/>
    <n v="3.003476"/>
    <n v="0.79835199999999995"/>
    <n v="0.51103699999999996"/>
    <n v="12.33445"/>
    <n v="18.367756"/>
    <n v="14.155561000000001"/>
    <n v="19.314682999999999"/>
    <n v="15.264037999999999"/>
  </r>
  <r>
    <x v="2"/>
    <x v="99"/>
    <n v="21.088999999999999"/>
    <n v="0.59391899999999997"/>
    <n v="0.29313"/>
    <n v="0.24124899999999999"/>
    <n v="2.3069440000000001"/>
    <n v="5.7198719999999996"/>
    <n v="5.2135300000000004"/>
    <n v="6.9530380000000003"/>
    <n v="20.679314000000002"/>
    <n v="28.428474999999999"/>
    <n v="0"/>
    <n v="0"/>
    <n v="0"/>
  </r>
  <r>
    <x v="3"/>
    <x v="100"/>
    <n v="96.750399999999999"/>
    <n v="0.170767"/>
    <n v="8.4619E-2"/>
    <n v="0.204541"/>
    <n v="2.627389"/>
    <n v="2.1294559999999998"/>
    <n v="1.893573"/>
    <n v="2.324614"/>
    <n v="9.739331"/>
    <n v="19.782720999999999"/>
    <n v="13.0063"/>
    <n v="19.710370999999999"/>
    <n v="13.948772999999999"/>
  </r>
  <r>
    <x v="3"/>
    <x v="101"/>
    <n v="121.94"/>
    <n v="0.22909499999999999"/>
    <n v="0.64377700000000004"/>
    <n v="0.296101"/>
    <n v="1.851256"/>
    <n v="0.66870300000000005"/>
    <n v="1.6692199999999999"/>
    <n v="0.114679"/>
    <n v="12.530426"/>
    <n v="19.987717"/>
    <n v="16.275659999999998"/>
    <n v="23.663388999999999"/>
    <n v="19.36045"/>
  </r>
  <r>
    <x v="3"/>
    <x v="102"/>
    <n v="50.924999999999997"/>
    <n v="0.23508699999999999"/>
    <n v="0.65621700000000005"/>
    <n v="0.445768"/>
    <n v="1.7157519999999999"/>
    <n v="1.2707310000000001"/>
    <n v="9.8086999999999994E-2"/>
    <n v="0.64825999999999995"/>
    <n v="21.267568000000001"/>
    <n v="32.144193000000001"/>
    <n v="22.628287"/>
    <n v="27.817063999999998"/>
    <n v="0"/>
  </r>
  <r>
    <x v="3"/>
    <x v="103"/>
    <n v="50.09"/>
    <n v="0.45707500000000001"/>
    <n v="0.60253100000000004"/>
    <n v="0.360649"/>
    <n v="3.6360139999999999"/>
    <n v="1.7072210000000001"/>
    <n v="3.7101109999999999"/>
    <n v="8.2432680000000005"/>
    <n v="10.617706"/>
    <n v="21.187159000000001"/>
    <n v="15.816504"/>
    <n v="25.116077000000001"/>
    <n v="0"/>
  </r>
  <r>
    <x v="3"/>
    <x v="104"/>
    <n v="13.238799999999999"/>
    <n v="0.167408"/>
    <n v="1.2868580000000001"/>
    <n v="1.0965849999999999"/>
    <n v="1.256778"/>
    <n v="0.66686400000000001"/>
    <n v="1.066398"/>
    <n v="5.6252180000000003"/>
    <n v="9.8147260000000003"/>
    <n v="0"/>
    <n v="0"/>
    <n v="0"/>
    <n v="0"/>
  </r>
  <r>
    <x v="3"/>
    <x v="105"/>
    <n v="42.62"/>
    <n v="0.37400699999999998"/>
    <n v="1.043148"/>
    <n v="0.97133400000000003"/>
    <n v="0.88372099999999998"/>
    <n v="1.3796379999999999"/>
    <n v="1.774602"/>
    <n v="3.114344"/>
    <n v="10.32691"/>
    <n v="17.904499999999999"/>
    <n v="15.838733"/>
    <n v="25.558489000000002"/>
    <n v="0"/>
  </r>
  <r>
    <x v="3"/>
    <x v="106"/>
    <n v="216.03100000000001"/>
    <n v="0.571631"/>
    <n v="0.49823200000000001"/>
    <n v="0.86752300000000004"/>
    <n v="0.73382099999999995"/>
    <n v="1.666431"/>
    <n v="1.444812"/>
    <n v="1.4205270000000001"/>
    <n v="12.026293000000001"/>
    <n v="22.228338000000001"/>
    <n v="16.730824999999999"/>
    <n v="24.085556"/>
    <n v="17.085705000000001"/>
  </r>
  <r>
    <x v="3"/>
    <x v="107"/>
    <n v="48.692"/>
    <n v="0.13536200000000001"/>
    <n v="0.97047099999999997"/>
    <n v="1.357202"/>
    <n v="0.95199299999999998"/>
    <n v="2.1524779999999999"/>
    <n v="0.60423000000000004"/>
    <n v="0.74807900000000005"/>
    <n v="12.400017"/>
    <n v="22.503595000000001"/>
    <n v="17.646512999999999"/>
    <n v="26.506751999999999"/>
    <n v="0"/>
  </r>
  <r>
    <x v="3"/>
    <x v="108"/>
    <n v="187.38579999999999"/>
    <n v="8.8401999999999994E-2"/>
    <n v="0.392762"/>
    <n v="0.48923800000000001"/>
    <n v="2.7398910000000001"/>
    <n v="0.30846099999999999"/>
    <n v="4.8181219999999998"/>
    <n v="6.9909949999999998"/>
    <n v="7.6111510000000004"/>
    <n v="21.617048"/>
    <n v="17.619700000000002"/>
    <n v="24.429846999999999"/>
    <n v="16.430429"/>
  </r>
  <r>
    <x v="3"/>
    <x v="109"/>
    <n v="157.66800000000001"/>
    <n v="0.618973"/>
    <n v="4.1243000000000002E-2"/>
    <n v="0.16644900000000001"/>
    <n v="2.2426140000000001"/>
    <n v="1.430393"/>
    <n v="0.155781"/>
    <n v="0.65435399999999999"/>
    <n v="10.994194"/>
    <n v="22.359446999999999"/>
    <n v="17.873162000000001"/>
    <n v="26.20074"/>
    <n v="18.881703000000002"/>
  </r>
  <r>
    <x v="3"/>
    <x v="110"/>
    <n v="87.302599999999998"/>
    <n v="0.207923"/>
    <n v="0.76744900000000005"/>
    <n v="0.63665499999999997"/>
    <n v="1.9057580000000001"/>
    <n v="1.008257"/>
    <n v="5.4259820000000003"/>
    <n v="10.992642"/>
    <n v="8.1478459999999995"/>
    <n v="20.424726"/>
    <n v="16.018321"/>
    <n v="26.080207000000001"/>
    <n v="18.722487999999998"/>
  </r>
  <r>
    <x v="3"/>
    <x v="111"/>
    <n v="96.48"/>
    <n v="0.41288200000000003"/>
    <n v="0.301487"/>
    <n v="0.18622"/>
    <n v="1.0664480000000001"/>
    <n v="1.2992330000000001"/>
    <n v="1.95122"/>
    <n v="0.38497599999999998"/>
    <n v="8.8832789999999999"/>
    <n v="18.441341000000001"/>
    <n v="15.635541"/>
    <n v="23.868486999999998"/>
    <n v="16.934405999999999"/>
  </r>
  <r>
    <x v="3"/>
    <x v="112"/>
    <n v="46.6"/>
    <n v="0.21413299999999999"/>
    <n v="0"/>
    <n v="8.5911000000000001E-2"/>
    <n v="2.2240869999999999"/>
    <n v="2.9151940000000001"/>
    <n v="0.21413299999999999"/>
    <n v="0.87215500000000001"/>
    <n v="17.736241"/>
    <n v="26.992428"/>
    <n v="20.380780000000001"/>
    <n v="27.783429000000002"/>
    <n v="0"/>
  </r>
  <r>
    <x v="3"/>
    <x v="113"/>
    <n v="31.354600000000001"/>
    <n v="3.0627000000000001E-2"/>
    <n v="1.2359629999999999"/>
    <n v="1.513577"/>
    <n v="2.028203"/>
    <n v="1.4094979999999999"/>
    <n v="1.40621"/>
    <n v="2.400563"/>
    <n v="15.765461"/>
    <n v="28.105792999999998"/>
    <n v="19.457125000000001"/>
    <n v="22.554874000000002"/>
    <n v="0"/>
  </r>
  <r>
    <x v="3"/>
    <x v="114"/>
    <n v="9.9265000000000008"/>
    <n v="0.69527799999999995"/>
    <n v="0.213115"/>
    <n v="1.0151269999999999"/>
    <n v="4.8839620000000004"/>
    <n v="1.7732570000000001"/>
    <n v="4.3745060000000002"/>
    <n v="7.1291580000000003"/>
    <n v="0"/>
    <n v="0"/>
    <n v="0"/>
    <n v="0"/>
    <n v="0"/>
  </r>
  <r>
    <x v="3"/>
    <x v="115"/>
    <n v="294.24400000000003"/>
    <n v="0.26911800000000002"/>
    <n v="0.37455699999999997"/>
    <n v="9.6765000000000004E-2"/>
    <n v="1.5521119999999999"/>
    <n v="1.808692"/>
    <n v="5.1339920000000001"/>
    <n v="8.2485959999999992"/>
    <n v="8.3658040000000007"/>
    <n v="17.213574999999999"/>
    <n v="12.56011"/>
    <n v="22.618656999999999"/>
    <n v="18.270993000000001"/>
  </r>
  <r>
    <x v="3"/>
    <x v="116"/>
    <n v="33.072800000000001"/>
    <n v="1.8140000000000001E-3"/>
    <n v="1.1818329999999999"/>
    <n v="1.5269189999999999"/>
    <n v="1.4476169999999999"/>
    <n v="1.9295150000000001"/>
    <n v="2.3900169999999998"/>
    <n v="12.219488"/>
    <n v="11.571202"/>
    <n v="19.128779999999999"/>
    <n v="15.537575"/>
    <n v="24.006703999999999"/>
    <n v="0"/>
  </r>
  <r>
    <x v="3"/>
    <x v="117"/>
    <n v="20.330200000000001"/>
    <n v="0.28545599999999999"/>
    <n v="0.65900599999999998"/>
    <n v="0.83474300000000001"/>
    <n v="1.3092299999999999"/>
    <n v="2.290829"/>
    <n v="1.402058"/>
    <n v="0.813778"/>
    <n v="13.773147"/>
    <n v="27.639212000000001"/>
    <n v="0"/>
    <n v="0"/>
    <n v="0"/>
  </r>
  <r>
    <x v="3"/>
    <x v="118"/>
    <n v="14.348800000000001"/>
    <n v="0.16559299999999999"/>
    <n v="1.054292"/>
    <n v="0.68344199999999999"/>
    <n v="2.5217390000000002"/>
    <n v="1.405664"/>
    <n v="0.34125899999999998"/>
    <n v="4.0599090000000002"/>
    <n v="19.771685000000002"/>
    <n v="0"/>
    <n v="0"/>
    <n v="0"/>
    <n v="0"/>
  </r>
  <r>
    <x v="3"/>
    <x v="119"/>
    <n v="186.524"/>
    <n v="0.14695"/>
    <n v="0.66728699999999996"/>
    <n v="0.37480999999999998"/>
    <n v="1.9869140000000001"/>
    <n v="3.6978999999999998E-2"/>
    <n v="2.7121309999999998"/>
    <n v="4.0305580000000001"/>
    <n v="10.862572"/>
    <n v="23.219843999999998"/>
    <n v="19.551603"/>
    <n v="28.728438000000001"/>
    <n v="20.812000000000001"/>
  </r>
  <r>
    <x v="3"/>
    <x v="120"/>
    <n v="17.25"/>
    <n v="0.28901700000000002"/>
    <n v="0.58309"/>
    <n v="0.46162700000000001"/>
    <n v="2.0998860000000001"/>
    <n v="0.17361099999999999"/>
    <n v="0.81823500000000005"/>
    <n v="1.590106"/>
    <n v="11.43234"/>
    <n v="16.35275"/>
    <n v="11.626873"/>
    <n v="0"/>
    <n v="0"/>
  </r>
  <r>
    <x v="3"/>
    <x v="121"/>
    <n v="273.8732"/>
    <n v="0.25167200000000001"/>
    <n v="0.30827900000000003"/>
    <n v="0.56717499999999998"/>
    <n v="2.738435"/>
    <n v="0.200457"/>
    <n v="2.2002280000000001"/>
    <n v="1.744872"/>
    <n v="10.534587999999999"/>
    <n v="22.961777999999999"/>
    <n v="19.573651999999999"/>
    <n v="31.227277000000001"/>
    <n v="19.94725"/>
  </r>
  <r>
    <x v="3"/>
    <x v="122"/>
    <n v="12.98"/>
    <n v="0.38373000000000002"/>
    <n v="0.542215"/>
    <n v="0.69821599999999995"/>
    <n v="1.142422"/>
    <n v="2.689873"/>
    <n v="0.30911899999999998"/>
    <n v="5.2716950000000002"/>
    <n v="11.441513"/>
    <n v="0"/>
    <n v="0"/>
    <n v="0"/>
    <n v="0"/>
  </r>
  <r>
    <x v="3"/>
    <x v="123"/>
    <n v="192.59129999999999"/>
    <n v="0.35879699999999998"/>
    <n v="0.77209799999999995"/>
    <n v="0.131851"/>
    <n v="1.6666369999999999"/>
    <n v="0.77590000000000003"/>
    <n v="2.3512309999999998"/>
    <n v="4.2649739999999996"/>
    <n v="9.9384049999999995"/>
    <n v="15.400762"/>
    <n v="14.257913"/>
    <n v="20.357475000000001"/>
    <n v="18.694348999999999"/>
  </r>
  <r>
    <x v="3"/>
    <x v="124"/>
    <n v="287.84469999999999"/>
    <n v="0.11167199999999999"/>
    <n v="0.69203700000000001"/>
    <n v="0.200021"/>
    <n v="2.332592"/>
    <n v="1.5954140000000001"/>
    <n v="0.77265700000000004"/>
    <n v="1.3586210000000001"/>
    <n v="10.922758"/>
    <n v="21.884678000000001"/>
    <n v="16.365839000000001"/>
    <n v="24.257794000000001"/>
    <n v="14.513957"/>
  </r>
  <r>
    <x v="3"/>
    <x v="125"/>
    <n v="41.235199999999999"/>
    <n v="0.67851899999999998"/>
    <n v="0.193633"/>
    <n v="0.51725500000000002"/>
    <n v="2.844325"/>
    <n v="7.2230030000000003"/>
    <n v="8.699166"/>
    <n v="11.178125"/>
    <n v="8.6359239999999993"/>
    <n v="17.692385000000002"/>
    <n v="16.012270999999998"/>
    <n v="25.911802000000002"/>
    <n v="0"/>
  </r>
  <r>
    <x v="3"/>
    <x v="126"/>
    <n v="54.2"/>
    <n v="0.27598899999999998"/>
    <n v="0.85597299999999998"/>
    <n v="1.384212"/>
    <n v="2.4478040000000001"/>
    <n v="0.64995400000000003"/>
    <n v="1.8988529999999999"/>
    <n v="3.1624080000000001"/>
    <n v="10.144532999999999"/>
    <n v="20.542763999999998"/>
    <n v="15.553053"/>
    <n v="23.289061"/>
    <n v="15.770022000000001"/>
  </r>
  <r>
    <x v="3"/>
    <x v="127"/>
    <n v="27.3734"/>
    <n v="0.44190000000000002"/>
    <n v="0.1588"/>
    <n v="0.37124099999999999"/>
    <n v="2.9642390000000001"/>
    <n v="7.3099999999999999E-4"/>
    <n v="3.2129859999999999"/>
    <n v="3.8716949999999999"/>
    <n v="11.422836999999999"/>
    <n v="19.813269999999999"/>
    <n v="15.196529"/>
    <n v="22.248486"/>
    <n v="0"/>
  </r>
  <r>
    <x v="4"/>
    <x v="128"/>
    <n v="21.13"/>
    <n v="0.28315200000000001"/>
    <n v="0"/>
    <n v="0.236072"/>
    <n v="1.8578730000000001"/>
    <n v="2.9727100000000002"/>
    <n v="0.81106900000000004"/>
    <n v="3.2242310000000001"/>
    <n v="13.602398000000001"/>
    <n v="18.739813000000002"/>
    <n v="14.36895"/>
    <n v="0"/>
    <n v="0"/>
  </r>
  <r>
    <x v="4"/>
    <x v="129"/>
    <n v="19.010000000000002"/>
    <n v="0.419068"/>
    <n v="0.21085899999999999"/>
    <n v="0.26371299999999998"/>
    <n v="1.6554580000000001"/>
    <n v="2.2592789999999998"/>
    <n v="1.224707"/>
    <n v="2.535059"/>
    <n v="17.654207"/>
    <n v="24.162231999999999"/>
    <n v="17.391597000000001"/>
    <n v="0"/>
    <n v="0"/>
  </r>
  <r>
    <x v="4"/>
    <x v="130"/>
    <n v="18.562999999999999"/>
    <n v="0.247192"/>
    <n v="0.210538"/>
    <n v="0.10785699999999999"/>
    <n v="0.64229499999999995"/>
    <n v="3.7502789999999999"/>
    <n v="1.648231"/>
    <n v="5.941103"/>
    <n v="14.088106"/>
    <n v="19.619450000000001"/>
    <n v="16.900251000000001"/>
    <n v="0"/>
    <n v="0"/>
  </r>
  <r>
    <x v="4"/>
    <x v="131"/>
    <n v="19.170000000000002"/>
    <n v="0.31201200000000001"/>
    <n v="0.577125"/>
    <n v="0.94786700000000002"/>
    <n v="0.52438399999999996"/>
    <n v="6.5591999999999997"/>
    <n v="4.6968870000000003"/>
    <n v="7.6361590000000001"/>
    <n v="16.055130999999999"/>
    <n v="0"/>
    <n v="0"/>
    <n v="0"/>
    <n v="0"/>
  </r>
  <r>
    <x v="4"/>
    <x v="132"/>
    <n v="324.6798"/>
    <n v="0.23444999999999999"/>
    <n v="1.2300000000000001E-4"/>
    <n v="0.114658"/>
    <n v="1.66835"/>
    <n v="3.2090239999999999"/>
    <n v="1.4732510000000001"/>
    <n v="1.656585"/>
    <n v="14.831287"/>
    <n v="20.412987000000001"/>
    <n v="14.806718"/>
    <n v="20.829522999999998"/>
    <n v="15.542674999999999"/>
  </r>
  <r>
    <x v="4"/>
    <x v="133"/>
    <n v="15.39"/>
    <n v="0.38834999999999997"/>
    <n v="0.19531299999999999"/>
    <n v="0.26058599999999998"/>
    <n v="0.77369399999999999"/>
    <n v="4.1976979999999999"/>
    <n v="1.8530770000000001"/>
    <n v="6.2845300000000002"/>
    <n v="15.073285"/>
    <n v="0"/>
    <n v="0"/>
    <n v="0"/>
    <n v="0"/>
  </r>
  <r>
    <x v="4"/>
    <x v="134"/>
    <n v="12.394"/>
    <n v="0.14502100000000001"/>
    <n v="0.12926199999999999"/>
    <n v="0.12088"/>
    <n v="1.478537"/>
    <n v="1.0352980000000001"/>
    <n v="0.56959499999999996"/>
    <n v="1.77369"/>
    <n v="0"/>
    <n v="0"/>
    <n v="0"/>
    <n v="0"/>
    <n v="0"/>
  </r>
  <r>
    <x v="4"/>
    <x v="135"/>
    <n v="15.821999999999999"/>
    <n v="0.32255600000000001"/>
    <n v="0.47691899999999998"/>
    <n v="0.33928399999999997"/>
    <n v="0.63305400000000001"/>
    <n v="5.0827869999999997"/>
    <n v="1.2238739999999999"/>
    <n v="2.614989"/>
    <n v="16.244499000000001"/>
    <n v="0"/>
    <n v="0"/>
    <n v="0"/>
    <n v="0"/>
  </r>
  <r>
    <x v="4"/>
    <x v="136"/>
    <n v="10.7818"/>
    <n v="0.40827599999999997"/>
    <n v="6.4881999999999995E-2"/>
    <n v="7.2291999999999995E-2"/>
    <n v="1.3369450000000001"/>
    <n v="4.1719809999999997"/>
    <n v="3.9831029999999998"/>
    <n v="6.2298640000000001"/>
    <n v="0"/>
    <n v="0"/>
    <n v="0"/>
    <n v="0"/>
    <n v="0"/>
  </r>
  <r>
    <x v="4"/>
    <x v="137"/>
    <n v="20.077999999999999"/>
    <n v="0.50545099999999998"/>
    <n v="1.4944000000000001E-2"/>
    <n v="0.25832100000000002"/>
    <n v="1.5108410000000001"/>
    <n v="3.0063620000000002"/>
    <n v="0.27468399999999998"/>
    <n v="2.9377080000000002"/>
    <n v="12.965498"/>
    <n v="21.950717000000001"/>
    <n v="19.520492000000001"/>
    <n v="0"/>
    <n v="0"/>
  </r>
  <r>
    <x v="4"/>
    <x v="138"/>
    <n v="19.686599999999999"/>
    <n v="0.40321200000000001"/>
    <n v="0.289356"/>
    <n v="0.23982300000000001"/>
    <n v="1.3865369999999999"/>
    <n v="3.358009"/>
    <n v="1.8700969999999999"/>
    <n v="2.2048709999999998"/>
    <n v="15.682248"/>
    <n v="0"/>
    <n v="0"/>
    <n v="0"/>
    <n v="0"/>
  </r>
  <r>
    <x v="4"/>
    <x v="139"/>
    <n v="896.38"/>
    <n v="0.24594099999999999"/>
    <n v="0.71006400000000003"/>
    <n v="0.86985900000000005"/>
    <n v="0.48294199999999998"/>
    <n v="3.3481679999999998"/>
    <n v="0.55077600000000004"/>
    <n v="5.5048789999999999"/>
    <n v="14.181456000000001"/>
    <n v="21.120365"/>
    <n v="17.272043"/>
    <n v="21.027916000000001"/>
    <n v="16.007045999999999"/>
  </r>
  <r>
    <x v="4"/>
    <x v="140"/>
    <n v="151.77000000000001"/>
    <n v="0.543906"/>
    <n v="0.23663999999999999"/>
    <n v="0.758517"/>
    <n v="3.2140810000000002"/>
    <n v="7.9130000000000006E-2"/>
    <n v="4.3727549999999997"/>
    <n v="5.3979929999999996"/>
    <n v="12.042280999999999"/>
    <n v="18.851519"/>
    <n v="13.927177"/>
    <n v="19.054973"/>
    <n v="15.244415999999999"/>
  </r>
  <r>
    <x v="4"/>
    <x v="141"/>
    <n v="27.387"/>
    <n v="0.133462"/>
    <n v="0.74416899999999997"/>
    <n v="1.1934670000000001"/>
    <n v="0.41271999999999998"/>
    <n v="5.3504180000000003"/>
    <n v="1.766146"/>
    <n v="4.0535560000000004"/>
    <n v="13.491997"/>
    <n v="22.162621000000001"/>
    <n v="17.769137000000001"/>
    <n v="18.547250999999999"/>
    <n v="0"/>
  </r>
  <r>
    <x v="4"/>
    <x v="142"/>
    <n v="21.289000000000001"/>
    <n v="0.402339"/>
    <n v="0.67149000000000003"/>
    <n v="0.58587299999999998"/>
    <n v="0.81993899999999997"/>
    <n v="5.2035980000000004"/>
    <n v="6.3014929999999998"/>
    <n v="6.8885880000000004"/>
    <n v="18.231971999999999"/>
    <n v="25.611017"/>
    <n v="22.241882"/>
    <n v="0"/>
    <n v="0"/>
  </r>
  <r>
    <x v="4"/>
    <x v="143"/>
    <n v="18.221699999999998"/>
    <n v="0.44201400000000002"/>
    <n v="0.30275200000000002"/>
    <n v="0.13463600000000001"/>
    <n v="1.161327"/>
    <n v="3.763496"/>
    <n v="2.2002980000000001"/>
    <n v="2.2088969999999999"/>
    <n v="17.920662"/>
    <n v="22.838654999999999"/>
    <n v="0"/>
    <n v="0"/>
    <n v="0"/>
  </r>
  <r>
    <x v="4"/>
    <x v="144"/>
    <n v="41.916600000000003"/>
    <n v="0.33857199999999998"/>
    <n v="0.43368299999999999"/>
    <n v="0.51725500000000002"/>
    <n v="1.2807230000000001"/>
    <n v="4.6962260000000002"/>
    <n v="1.2397560000000001"/>
    <n v="4.74803"/>
    <n v="14.914705"/>
    <n v="22.268968999999998"/>
    <n v="17.315017999999998"/>
    <n v="23.624762"/>
    <n v="0"/>
  </r>
  <r>
    <x v="4"/>
    <x v="145"/>
    <n v="15.244999999999999"/>
    <n v="0.117932"/>
    <n v="0.249885"/>
    <n v="0"/>
    <n v="1.0321990000000001"/>
    <n v="4.2820989999999997"/>
    <n v="2.7083469999999998"/>
    <n v="9.0018589999999996"/>
    <n v="15.060898"/>
    <n v="0"/>
    <n v="0"/>
    <n v="0"/>
    <n v="0"/>
  </r>
  <r>
    <x v="4"/>
    <x v="146"/>
    <n v="13.5893"/>
    <n v="0.55105899999999997"/>
    <n v="1.1809449999999999"/>
    <n v="1.12774"/>
    <n v="4.7414430000000003"/>
    <n v="0.44793699999999997"/>
    <n v="0.73919900000000005"/>
    <n v="0.69567800000000002"/>
    <n v="0"/>
    <n v="0"/>
    <n v="0"/>
    <n v="0"/>
    <n v="0"/>
  </r>
  <r>
    <x v="4"/>
    <x v="147"/>
    <n v="330.2593"/>
    <n v="0.33777099999999999"/>
    <n v="0.35750900000000002"/>
    <n v="0.51205100000000003"/>
    <n v="1.3296589999999999"/>
    <n v="1.1490389999999999"/>
    <n v="0.22453000000000001"/>
    <n v="4.4750439999999996"/>
    <n v="16.182231000000002"/>
    <n v="23.188583000000001"/>
    <n v="21.315804"/>
    <n v="26.346160000000001"/>
    <n v="15.907949"/>
  </r>
  <r>
    <x v="4"/>
    <x v="148"/>
    <n v="667.65880000000004"/>
    <n v="0.20589299999999999"/>
    <n v="4.9461999999999999E-2"/>
    <n v="0.49853700000000001"/>
    <n v="1.908228"/>
    <n v="0.190715"/>
    <n v="3.8692530000000001"/>
    <n v="3.1268440000000002"/>
    <n v="5.2202669999999998"/>
    <n v="12.127440999999999"/>
    <n v="11.867419999999999"/>
    <n v="20.033632000000001"/>
    <n v="17.601459999999999"/>
  </r>
  <r>
    <x v="4"/>
    <x v="149"/>
    <n v="17.520399999999999"/>
    <n v="0.29364899999999999"/>
    <n v="0.40804200000000002"/>
    <n v="0.69095300000000004"/>
    <n v="1.9777439999999999"/>
    <n v="0.84496000000000004"/>
    <n v="0.87468199999999996"/>
    <n v="3.8184399999999998"/>
    <n v="15.382816"/>
    <n v="18.223047999999999"/>
    <n v="0"/>
    <n v="0"/>
    <n v="0"/>
  </r>
  <r>
    <x v="4"/>
    <x v="150"/>
    <n v="435.01159999999999"/>
    <n v="0.14796100000000001"/>
    <n v="0.59592800000000001"/>
    <n v="0.38572499999999998"/>
    <n v="1.31271"/>
    <n v="3.3202929999999999"/>
    <n v="2.5558839999999998"/>
    <n v="5.6670780000000001"/>
    <n v="13.672294000000001"/>
    <n v="19.297048"/>
    <n v="14.592053999999999"/>
    <n v="20.389984999999999"/>
    <n v="16.216308000000001"/>
  </r>
  <r>
    <x v="4"/>
    <x v="151"/>
    <n v="15.436199999999999"/>
    <n v="0.198488"/>
    <n v="0.33670499999999998"/>
    <n v="0.16156999999999999"/>
    <n v="0.24363599999999999"/>
    <n v="5.3421050000000001"/>
    <n v="3.5659890000000001"/>
    <n v="4.2725809999999997"/>
    <n v="9.6561559999999993"/>
    <n v="0"/>
    <n v="0"/>
    <n v="0"/>
    <n v="0"/>
  </r>
  <r>
    <x v="4"/>
    <x v="152"/>
    <n v="16.809999999999999"/>
    <n v="0.53254400000000002"/>
    <n v="5.9452999999999999E-2"/>
    <n v="0.119119"/>
    <n v="1.7533609999999999"/>
    <n v="3.192142"/>
    <n v="2.8763770000000002"/>
    <n v="3.3189920000000002"/>
    <n v="13.747272000000001"/>
    <n v="19.986827000000002"/>
    <n v="0"/>
    <n v="0"/>
    <n v="0"/>
  </r>
  <r>
    <x v="4"/>
    <x v="153"/>
    <n v="15.987"/>
    <n v="0.51029899999999995"/>
    <n v="0.16236800000000001"/>
    <n v="0.26202500000000001"/>
    <n v="2.2022390000000001"/>
    <n v="4.0955849999999998"/>
    <n v="3.5561600000000002"/>
    <n v="7.1945819999999996"/>
    <n v="18.893564999999999"/>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9677C7-417F-4E43-B67D-A595CB0DED8A}" name="PivotTable8" cacheId="1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4" firstHeaderRow="0" firstDataRow="1" firstDataCol="1" rowPageCount="1" colPageCount="1"/>
  <pivotFields count="15">
    <pivotField axis="axisPage" multipleItemSelectionAllowed="1" showAll="0">
      <items count="6">
        <item x="1"/>
        <item x="0"/>
        <item x="2"/>
        <item x="4"/>
        <item x="3"/>
        <item t="default"/>
      </items>
    </pivotField>
    <pivotField axis="axisRow" showAll="0" measureFilter="1" sortType="ascending">
      <items count="155">
        <item x="32"/>
        <item x="33"/>
        <item x="0"/>
        <item x="71"/>
        <item x="128"/>
        <item x="100"/>
        <item x="34"/>
        <item x="1"/>
        <item x="72"/>
        <item x="129"/>
        <item x="101"/>
        <item x="35"/>
        <item x="2"/>
        <item x="36"/>
        <item x="3"/>
        <item x="73"/>
        <item x="130"/>
        <item x="102"/>
        <item x="37"/>
        <item x="4"/>
        <item x="131"/>
        <item x="103"/>
        <item x="38"/>
        <item x="5"/>
        <item x="74"/>
        <item x="132"/>
        <item x="104"/>
        <item x="39"/>
        <item x="6"/>
        <item x="75"/>
        <item x="133"/>
        <item x="105"/>
        <item x="40"/>
        <item x="7"/>
        <item x="76"/>
        <item x="134"/>
        <item x="106"/>
        <item x="41"/>
        <item x="8"/>
        <item x="77"/>
        <item x="135"/>
        <item x="107"/>
        <item x="42"/>
        <item x="9"/>
        <item x="78"/>
        <item x="136"/>
        <item x="108"/>
        <item x="10"/>
        <item x="43"/>
        <item x="11"/>
        <item x="79"/>
        <item x="137"/>
        <item x="109"/>
        <item x="44"/>
        <item x="45"/>
        <item x="12"/>
        <item x="80"/>
        <item x="138"/>
        <item x="110"/>
        <item x="46"/>
        <item x="13"/>
        <item x="81"/>
        <item x="139"/>
        <item x="111"/>
        <item x="47"/>
        <item x="14"/>
        <item x="82"/>
        <item x="140"/>
        <item x="112"/>
        <item x="48"/>
        <item x="15"/>
        <item x="83"/>
        <item x="141"/>
        <item x="113"/>
        <item x="49"/>
        <item x="16"/>
        <item x="84"/>
        <item x="114"/>
        <item x="50"/>
        <item x="17"/>
        <item x="85"/>
        <item x="142"/>
        <item x="115"/>
        <item x="51"/>
        <item x="18"/>
        <item x="86"/>
        <item x="143"/>
        <item x="116"/>
        <item x="52"/>
        <item x="19"/>
        <item x="87"/>
        <item x="144"/>
        <item x="117"/>
        <item x="53"/>
        <item x="20"/>
        <item x="88"/>
        <item x="145"/>
        <item x="54"/>
        <item x="21"/>
        <item x="89"/>
        <item x="146"/>
        <item x="118"/>
        <item x="55"/>
        <item x="56"/>
        <item x="90"/>
        <item x="22"/>
        <item x="147"/>
        <item x="119"/>
        <item x="57"/>
        <item x="58"/>
        <item x="59"/>
        <item x="23"/>
        <item x="91"/>
        <item x="120"/>
        <item x="60"/>
        <item x="24"/>
        <item x="92"/>
        <item x="148"/>
        <item x="121"/>
        <item x="122"/>
        <item x="61"/>
        <item x="62"/>
        <item x="25"/>
        <item x="93"/>
        <item x="149"/>
        <item x="123"/>
        <item x="63"/>
        <item x="64"/>
        <item x="26"/>
        <item x="94"/>
        <item x="150"/>
        <item x="124"/>
        <item x="65"/>
        <item x="27"/>
        <item x="95"/>
        <item x="151"/>
        <item x="125"/>
        <item x="96"/>
        <item x="66"/>
        <item x="28"/>
        <item x="67"/>
        <item x="68"/>
        <item x="29"/>
        <item x="97"/>
        <item x="152"/>
        <item x="126"/>
        <item x="69"/>
        <item x="30"/>
        <item x="98"/>
        <item x="127"/>
        <item x="70"/>
        <item x="31"/>
        <item x="99"/>
        <item x="153"/>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s>
  <rowFields count="1">
    <field x="1"/>
  </rowFields>
  <rowItems count="11">
    <i>
      <x v="152"/>
    </i>
    <i>
      <x v="71"/>
    </i>
    <i>
      <x v="92"/>
    </i>
    <i>
      <x v="73"/>
    </i>
    <i>
      <x v="66"/>
    </i>
    <i>
      <x v="50"/>
    </i>
    <i>
      <x v="39"/>
    </i>
    <i>
      <x v="68"/>
    </i>
    <i>
      <x v="17"/>
    </i>
    <i>
      <x v="99"/>
    </i>
    <i t="grand">
      <x/>
    </i>
  </rowItems>
  <colFields count="1">
    <field x="-2"/>
  </colFields>
  <colItems count="2">
    <i>
      <x/>
    </i>
    <i i="1">
      <x v="1"/>
    </i>
  </colItems>
  <pageFields count="1">
    <pageField fld="0" hier="-1"/>
  </pageFields>
  <dataFields count="2">
    <dataField name="Average of 3 Years" fld="11" subtotal="average" baseField="1" baseItem="0"/>
    <dataField name="Average of 5 Years" fld="13" subtotal="average" baseField="1" baseItem="0"/>
  </dataFields>
  <formats count="1">
    <format dxfId="3">
      <pivotArea collapsedLevelsAreSubtotals="1" fieldPosition="0">
        <references count="1">
          <reference field="1"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C7F955-9126-4822-B32E-1DBC6CAAD9A9}" name="PivotTable7" cacheId="15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3:D8" firstHeaderRow="0" firstDataRow="1" firstDataCol="1"/>
  <pivotFields count="15">
    <pivotField axis="axisRow" showAll="0">
      <items count="6">
        <item x="1"/>
        <item x="0"/>
        <item x="2"/>
        <item x="4"/>
        <item x="3"/>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showAll="0"/>
    <pivotField showAll="0"/>
  </pivotFields>
  <rowFields count="1">
    <field x="0"/>
  </rowFields>
  <rowItems count="5">
    <i>
      <x/>
    </i>
    <i>
      <x v="1"/>
    </i>
    <i>
      <x v="2"/>
    </i>
    <i>
      <x v="3"/>
    </i>
    <i>
      <x v="4"/>
    </i>
  </rowItems>
  <colFields count="1">
    <field x="-2"/>
  </colFields>
  <colItems count="3">
    <i>
      <x/>
    </i>
    <i i="1">
      <x v="1"/>
    </i>
    <i i="2">
      <x v="2"/>
    </i>
  </colItems>
  <dataFields count="3">
    <dataField name="Average of 1 Year" fld="9" subtotal="average" baseField="0" baseItem="0"/>
    <dataField name="Average of 3 Years" fld="11" subtotal="average" baseField="0" baseItem="0"/>
    <dataField name="Average of 5 Years" fld="13" subtotal="average" baseField="0" baseItem="0"/>
  </dataFields>
  <formats count="1">
    <format dxfId="6">
      <pivotArea collapsedLevelsAreSubtotals="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98399B-5E89-4100-925D-4F43E0C23287}" name="PivotTable8" cacheId="15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26:G36" firstHeaderRow="0" firstDataRow="1" firstDataCol="1" rowPageCount="1" colPageCount="1"/>
  <pivotFields count="15">
    <pivotField axis="axisPage" multipleItemSelectionAllowed="1" showAll="0">
      <items count="6">
        <item x="1"/>
        <item x="0"/>
        <item x="2"/>
        <item x="4"/>
        <item x="3"/>
        <item t="default"/>
      </items>
    </pivotField>
    <pivotField axis="axisRow" showAll="0" measureFilter="1">
      <items count="155">
        <item x="32"/>
        <item x="33"/>
        <item x="0"/>
        <item x="71"/>
        <item x="128"/>
        <item x="100"/>
        <item x="34"/>
        <item x="1"/>
        <item x="72"/>
        <item x="129"/>
        <item x="101"/>
        <item x="35"/>
        <item x="2"/>
        <item x="36"/>
        <item x="3"/>
        <item x="73"/>
        <item x="130"/>
        <item x="102"/>
        <item x="37"/>
        <item x="4"/>
        <item x="131"/>
        <item x="103"/>
        <item x="38"/>
        <item x="5"/>
        <item x="74"/>
        <item x="132"/>
        <item x="104"/>
        <item x="39"/>
        <item x="6"/>
        <item x="75"/>
        <item x="133"/>
        <item x="105"/>
        <item x="40"/>
        <item x="7"/>
        <item x="76"/>
        <item x="134"/>
        <item x="106"/>
        <item x="41"/>
        <item x="8"/>
        <item x="77"/>
        <item x="135"/>
        <item x="107"/>
        <item x="42"/>
        <item x="9"/>
        <item x="78"/>
        <item x="136"/>
        <item x="108"/>
        <item x="10"/>
        <item x="43"/>
        <item x="11"/>
        <item x="79"/>
        <item x="137"/>
        <item x="109"/>
        <item x="44"/>
        <item x="45"/>
        <item x="12"/>
        <item x="80"/>
        <item x="138"/>
        <item x="110"/>
        <item x="46"/>
        <item x="13"/>
        <item x="81"/>
        <item x="139"/>
        <item x="111"/>
        <item x="47"/>
        <item x="14"/>
        <item x="82"/>
        <item x="140"/>
        <item x="112"/>
        <item x="48"/>
        <item x="15"/>
        <item x="83"/>
        <item x="141"/>
        <item x="113"/>
        <item x="49"/>
        <item x="16"/>
        <item x="84"/>
        <item x="114"/>
        <item x="50"/>
        <item x="17"/>
        <item x="85"/>
        <item x="142"/>
        <item x="115"/>
        <item x="51"/>
        <item x="18"/>
        <item x="86"/>
        <item x="143"/>
        <item x="116"/>
        <item x="52"/>
        <item x="19"/>
        <item x="87"/>
        <item x="144"/>
        <item x="117"/>
        <item x="53"/>
        <item x="20"/>
        <item x="88"/>
        <item x="145"/>
        <item x="54"/>
        <item x="21"/>
        <item x="89"/>
        <item x="146"/>
        <item x="118"/>
        <item x="55"/>
        <item x="56"/>
        <item x="90"/>
        <item x="22"/>
        <item x="147"/>
        <item x="119"/>
        <item x="57"/>
        <item x="58"/>
        <item x="59"/>
        <item x="23"/>
        <item x="91"/>
        <item x="120"/>
        <item x="60"/>
        <item x="24"/>
        <item x="92"/>
        <item x="148"/>
        <item x="121"/>
        <item x="122"/>
        <item x="61"/>
        <item x="62"/>
        <item x="25"/>
        <item x="93"/>
        <item x="149"/>
        <item x="123"/>
        <item x="63"/>
        <item x="64"/>
        <item x="26"/>
        <item x="94"/>
        <item x="150"/>
        <item x="124"/>
        <item x="65"/>
        <item x="27"/>
        <item x="95"/>
        <item x="151"/>
        <item x="125"/>
        <item x="96"/>
        <item x="66"/>
        <item x="28"/>
        <item x="67"/>
        <item x="68"/>
        <item x="29"/>
        <item x="97"/>
        <item x="152"/>
        <item x="126"/>
        <item x="69"/>
        <item x="30"/>
        <item x="98"/>
        <item x="127"/>
        <item x="70"/>
        <item x="31"/>
        <item x="99"/>
        <item x="153"/>
        <item t="default"/>
      </items>
    </pivotField>
    <pivotField showAll="0"/>
    <pivotField dataField="1" showAll="0"/>
    <pivotField showAll="0"/>
    <pivotField showAll="0"/>
    <pivotField dataField="1" showAll="0"/>
    <pivotField showAll="0"/>
    <pivotField dataField="1" showAll="0"/>
    <pivotField showAll="0"/>
    <pivotField showAll="0"/>
    <pivotField dataField="1" showAll="0"/>
    <pivotField showAll="0"/>
    <pivotField dataField="1" showAll="0"/>
    <pivotField dataField="1" showAll="0"/>
  </pivotFields>
  <rowFields count="1">
    <field x="1"/>
  </rowFields>
  <rowItems count="10">
    <i>
      <x v="17"/>
    </i>
    <i>
      <x v="39"/>
    </i>
    <i>
      <x v="50"/>
    </i>
    <i>
      <x v="66"/>
    </i>
    <i>
      <x v="68"/>
    </i>
    <i>
      <x v="71"/>
    </i>
    <i>
      <x v="73"/>
    </i>
    <i>
      <x v="92"/>
    </i>
    <i>
      <x v="99"/>
    </i>
    <i>
      <x v="152"/>
    </i>
  </rowItems>
  <colFields count="1">
    <field x="-2"/>
  </colFields>
  <colItems count="6">
    <i>
      <x/>
    </i>
    <i i="1">
      <x v="1"/>
    </i>
    <i i="2">
      <x v="2"/>
    </i>
    <i i="3">
      <x v="3"/>
    </i>
    <i i="4">
      <x v="4"/>
    </i>
    <i i="5">
      <x v="5"/>
    </i>
  </colItems>
  <pageFields count="1">
    <pageField fld="0" hier="-1"/>
  </pageFields>
  <dataFields count="6">
    <dataField name="Average of 1 Day" fld="3" subtotal="average" baseField="1" baseItem="0"/>
    <dataField name="Average of 1 Month" fld="6" subtotal="average" baseField="1" baseItem="0"/>
    <dataField name="Average of 6 Months" fld="8" subtotal="average" baseField="1" baseItem="0"/>
    <dataField name="Average of 3 Years" fld="11" subtotal="average" baseField="1" baseItem="0"/>
    <dataField name="Average of 5 Years" fld="13" subtotal="average" baseField="1" baseItem="0"/>
    <dataField name="Average of 10 Years" fld="14" subtotal="average" baseField="1" baseItem="0"/>
  </dataFields>
  <formats count="1">
    <format dxfId="2">
      <pivotArea outline="0" collapsedLevelsAreSubtotals="1" fieldPosition="0"/>
    </format>
  </formats>
  <conditionalFormats count="1">
    <conditionalFormat priority="1">
      <pivotAreas count="1">
        <pivotArea type="data" outline="0" collapsedLevelsAreSubtotals="1" fieldPosition="0"/>
      </pivotAreas>
    </conditionalFormat>
  </conditionalFormats>
  <pivotTableStyleInfo name="PivotStyleLight16" showRowHeaders="1" showColHeaders="1" showRowStripes="0" showColStripes="0" showLastColumn="1"/>
  <filters count="1">
    <filter fld="1" type="count" evalOrder="-1" id="2" iMeasureFld="3">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27A71D1-C64E-443A-BC16-3EFE29303361}" autoFormatId="16" applyNumberFormats="0" applyBorderFormats="0" applyFontFormats="0" applyPatternFormats="0" applyAlignmentFormats="0" applyWidthHeightFormats="0">
  <queryTableRefresh nextId="16">
    <queryTableFields count="15">
      <queryTableField id="1" name="Category" tableColumnId="1"/>
      <queryTableField id="2" name="Scheme Name" tableColumnId="2"/>
      <queryTableField id="3" name="NAV" tableColumnId="3"/>
      <queryTableField id="4" name="1 Day" tableColumnId="4"/>
      <queryTableField id="5" name="1 Week" tableColumnId="5"/>
      <queryTableField id="6" name="2 Weeks" tableColumnId="6"/>
      <queryTableField id="7" name="1 Month" tableColumnId="7"/>
      <queryTableField id="8" name="3 Months" tableColumnId="8"/>
      <queryTableField id="9" name="6 Months" tableColumnId="9"/>
      <queryTableField id="10" name="1 Year" tableColumnId="10"/>
      <queryTableField id="11" name="2 Years" tableColumnId="11"/>
      <queryTableField id="12" name="3 Years" tableColumnId="12"/>
      <queryTableField id="13" name="4 years" tableColumnId="13"/>
      <queryTableField id="14" name="5 Years" tableColumnId="14"/>
      <queryTableField id="15" name="10 Year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E1910E83-2008-40E1-BBDC-8D56D37CDF66}" sourceName="Category">
  <pivotTables>
    <pivotTable tabId="22" name="PivotTable8"/>
    <pivotTable tabId="21" name="PivotTable7"/>
    <pivotTable tabId="25" name="PivotTable8"/>
  </pivotTables>
  <data>
    <tabular pivotCacheId="25741382">
      <items count="5">
        <i x="1" s="1"/>
        <i x="0"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891BD16-CA49-4C31-B671-4A08BEA5B9E8}" cache="Slicer_Category1" caption="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3" xr10:uid="{4EF03CC9-B93F-4D93-8FB2-E14EA3574881}" cache="Slicer_Category1" caption="Category" rowHeight="247650"/>
</slicers>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E3EC42-EE65-41CE-96B2-4874F9398941}" name="Multicap" displayName="Multicap" ref="A1:O27" totalsRowShown="0" headerRowDxfId="92" dataDxfId="91" tableBorderDxfId="90" headerRowCellStyle="Normal 2" dataCellStyle="Comma">
  <tableColumns count="15">
    <tableColumn id="1" xr3:uid="{97BDF7C1-193D-4ED6-BB10-4EA997DDE4CB}" name="Category" dataDxfId="89" dataCellStyle="Normal 3"/>
    <tableColumn id="2" xr3:uid="{2BCEEC83-C04A-42AD-8091-C7D69D98BA9A}" name="Scheme Name" dataDxfId="88" dataCellStyle="Normal 3"/>
    <tableColumn id="3" xr3:uid="{C797E423-E484-4C7D-9576-3393F776B55D}" name="NAV" dataDxfId="19" dataCellStyle="Comma"/>
    <tableColumn id="4" xr3:uid="{1BEBE158-06B4-4A3B-9BF8-2F976D399A89}" name="1 Day" dataDxfId="18" dataCellStyle="Comma"/>
    <tableColumn id="5" xr3:uid="{4D031F00-6049-40E4-9B02-F21C7E9503AD}" name="1 Week" dataDxfId="17" dataCellStyle="Comma"/>
    <tableColumn id="6" xr3:uid="{9DA6945B-FB1B-4699-8E83-A6750B16F9D3}" name="2 Weeks" dataDxfId="16" dataCellStyle="Comma"/>
    <tableColumn id="7" xr3:uid="{9787FA6F-3571-4A39-8DCD-B479C52930A9}" name="1 Month" dataDxfId="15" dataCellStyle="Comma"/>
    <tableColumn id="8" xr3:uid="{533B9470-6A84-4569-A34B-3F07E63F3ADB}" name="3 Months" dataDxfId="14" dataCellStyle="Comma"/>
    <tableColumn id="9" xr3:uid="{3EC5C885-3FEC-4469-B184-DBB44FB23559}" name="6 Months" dataDxfId="13" dataCellStyle="Comma"/>
    <tableColumn id="10" xr3:uid="{D477C8F3-E32B-4625-8DCB-31ED6B005E08}" name="1 Year" dataDxfId="12" dataCellStyle="Comma"/>
    <tableColumn id="11" xr3:uid="{7F533F6A-B0BA-4A56-A231-A99BFBDC440C}" name="2 Years" dataDxfId="11" dataCellStyle="Comma"/>
    <tableColumn id="12" xr3:uid="{0AD62E21-322B-47D6-A8EE-576EBCB2074B}" name="3 Years" dataDxfId="10" dataCellStyle="Comma"/>
    <tableColumn id="13" xr3:uid="{C3F4085F-401D-44F9-975A-BB72372CEABA}" name="4 years" dataDxfId="9" dataCellStyle="Comma"/>
    <tableColumn id="14" xr3:uid="{D9DAC7AD-F84B-421B-A56E-594E1329A1F9}" name="5 Years" dataDxfId="8" dataCellStyle="Comma"/>
    <tableColumn id="15" xr3:uid="{A8F462F0-2C9B-41CB-B49B-7647F87C3EBF}" name="10 Years" dataDxfId="7" dataCellStyle="Comma"/>
  </tableColumns>
  <tableStyleInfo name="TableStyleMedium4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36D1AF-9810-4180-BC1C-0CD9131CF4D4}" name="Flexicap" displayName="Flexicap" ref="A1:O40" totalsRowShown="0" headerRowDxfId="87" dataDxfId="86" tableBorderDxfId="85" headerRowCellStyle="Normal 2" dataCellStyle="Comma">
  <tableColumns count="15">
    <tableColumn id="1" xr3:uid="{C7AD4ACB-43F7-4087-95B7-27BEA2A87599}" name="Category"/>
    <tableColumn id="2" xr3:uid="{1A9A59C5-D8AE-4183-BB29-1C7AAF20ADEF}" name="Scheme Name" dataDxfId="84" dataCellStyle="Normal 3"/>
    <tableColumn id="3" xr3:uid="{DEE7CC59-E7D4-49AA-9703-F97A722DFBA3}" name="NAV" dataDxfId="32" dataCellStyle="Comma"/>
    <tableColumn id="4" xr3:uid="{1E080620-7502-4790-B1A3-8C8999F7F5F9}" name="1 Day" dataDxfId="31" dataCellStyle="Comma"/>
    <tableColumn id="5" xr3:uid="{C3D64BE2-B136-4E13-8B80-6B76AAD98323}" name="1 Week" dataDxfId="30" dataCellStyle="Comma"/>
    <tableColumn id="6" xr3:uid="{BDE28258-B4BE-4CFE-B002-B9D3A6B54178}" name="2 Weeks" dataDxfId="29" dataCellStyle="Comma"/>
    <tableColumn id="7" xr3:uid="{3D983DAB-D60E-4A42-9AFD-318B85442A7D}" name="1 Month" dataDxfId="28" dataCellStyle="Comma"/>
    <tableColumn id="8" xr3:uid="{FCF20D50-708B-4AAA-9F96-0710EB2E3421}" name="3 Months" dataDxfId="27" dataCellStyle="Comma"/>
    <tableColumn id="9" xr3:uid="{2B7DF096-1693-4106-A6E6-565ABD5D1155}" name="6 Months" dataDxfId="26" dataCellStyle="Comma"/>
    <tableColumn id="10" xr3:uid="{5549B16B-EA43-4A7D-A930-B9A1B3F342D5}" name="1 Year" dataDxfId="25" dataCellStyle="Comma"/>
    <tableColumn id="11" xr3:uid="{1DD7557D-1A20-4BAB-B9A8-C8504058B5C3}" name="2 Years" dataDxfId="24" dataCellStyle="Comma"/>
    <tableColumn id="12" xr3:uid="{2BBB2A03-9D1D-4B0A-83D7-C4FDCC030BAF}" name="3 Years" dataDxfId="23" dataCellStyle="Comma"/>
    <tableColumn id="13" xr3:uid="{E35489F8-304B-4EB5-B835-241D51661CFB}" name="4 years" dataDxfId="22" dataCellStyle="Comma"/>
    <tableColumn id="14" xr3:uid="{8C8EBF47-BAFE-4889-BCC2-D2E2D83C62E2}" name="5 Years" dataDxfId="21" dataCellStyle="Comma"/>
    <tableColumn id="15" xr3:uid="{EDCBCEDC-0BE0-4499-B91D-18C7551C57BC}" name="10 Years" dataDxfId="20" dataCellStyle="Comma"/>
  </tableColumns>
  <tableStyleInfo name="TableStyleMedium4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8AE56D7-65E3-4B92-A90F-16742FFEB572}" name="Largecap" displayName="Largecap" ref="A1:O33" totalsRowShown="0" headerRowDxfId="83" dataDxfId="82" tableBorderDxfId="81" headerRowCellStyle="Comma" dataCellStyle="Comma">
  <tableColumns count="15">
    <tableColumn id="1" xr3:uid="{70FA11D3-8663-46F2-862D-FD99FDE5D21C}" name="Category"/>
    <tableColumn id="2" xr3:uid="{8DE3173A-8885-4E01-82B0-B6F9B55FD460}" name="Scheme Name" dataDxfId="80" dataCellStyle="Normal 3"/>
    <tableColumn id="3" xr3:uid="{BE7C923A-54EF-4AAB-A0B4-75107BD61591}" name="NAV" dataDxfId="79" dataCellStyle="Normal 3"/>
    <tableColumn id="4" xr3:uid="{B3380422-E1AF-4886-B492-76AD7F4C839D}" name="1 Day" dataDxfId="44" dataCellStyle="Comma"/>
    <tableColumn id="5" xr3:uid="{B377B60F-081D-45C9-B90B-D1B93DD65271}" name="1 Week" dataDxfId="43" dataCellStyle="Comma"/>
    <tableColumn id="6" xr3:uid="{2B546322-8253-4459-90F1-906614767249}" name="2 Weeks" dataDxfId="42" dataCellStyle="Comma"/>
    <tableColumn id="7" xr3:uid="{1E3310E9-04A5-482E-8F41-0C0889EAA848}" name="1 Month" dataDxfId="41" dataCellStyle="Comma"/>
    <tableColumn id="8" xr3:uid="{447A7766-70C6-4955-B356-05FEFD591600}" name="3 Months" dataDxfId="40" dataCellStyle="Comma"/>
    <tableColumn id="9" xr3:uid="{FFD4608B-E9A1-48DB-8F1C-EF6C82AD08A2}" name="6 Months" dataDxfId="39" dataCellStyle="Comma"/>
    <tableColumn id="10" xr3:uid="{5030387B-0690-413F-B36D-F6B7617FF38C}" name="1 Year" dataDxfId="38" dataCellStyle="Comma"/>
    <tableColumn id="11" xr3:uid="{2D91BE34-10E7-4D32-B04E-2CB275CBC9D6}" name="2 Years" dataDxfId="37" dataCellStyle="Comma"/>
    <tableColumn id="12" xr3:uid="{7BE7F952-3FA9-4C8D-AEAC-E6F15956B526}" name="3 Years" dataDxfId="36" dataCellStyle="Comma"/>
    <tableColumn id="13" xr3:uid="{DE5C9463-2B9E-47F1-975D-8DF3B0A58A11}" name="4 years" dataDxfId="35" dataCellStyle="Comma"/>
    <tableColumn id="14" xr3:uid="{AC8647A1-0470-4300-935F-2933A1EB2302}" name="5 Years" dataDxfId="34" dataCellStyle="Comma"/>
    <tableColumn id="15" xr3:uid="{3800D3F2-AAAB-40C3-89EC-556205D77F33}" name="10 Years" dataDxfId="33" dataCellStyle="Comma"/>
  </tableColumns>
  <tableStyleInfo name="TableStyleMedium4 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B4616D9-06B9-4901-BE1E-2F0F3C9BF6BB}" name="Midcap" displayName="Midcap" ref="A1:O30" totalsRowShown="0" headerRowDxfId="78" dataDxfId="77" tableBorderDxfId="76" headerRowCellStyle="Comma" dataCellStyle="Comma">
  <tableColumns count="15">
    <tableColumn id="1" xr3:uid="{FAB11012-B4CD-43BB-9FD9-8202C7A595E3}" name="Category"/>
    <tableColumn id="2" xr3:uid="{189FCFE4-F37F-4277-9D77-CDCAB1F3190F}" name="Scheme Name" dataDxfId="75" dataCellStyle="Normal 3"/>
    <tableColumn id="3" xr3:uid="{5E7F6E64-008C-4B1E-8AA5-98D6D0BD470D}" name="NAV" dataDxfId="74" dataCellStyle="Normal 3"/>
    <tableColumn id="4" xr3:uid="{AAD66306-1BC2-456B-AF48-1B282150A9E3}" name="1 Day" dataDxfId="56" dataCellStyle="Comma"/>
    <tableColumn id="5" xr3:uid="{3581F4D7-3B27-4151-8B5F-53313F3C1F30}" name="1 Week" dataDxfId="55" dataCellStyle="Comma"/>
    <tableColumn id="6" xr3:uid="{63C6D35B-06B6-4AAD-9F88-8563A4568F0C}" name="2 Weeks" dataDxfId="54" dataCellStyle="Comma"/>
    <tableColumn id="7" xr3:uid="{D98E6EFA-1962-4A9A-8B1C-010CE5EA13A3}" name="1 Month" dataDxfId="53" dataCellStyle="Comma"/>
    <tableColumn id="8" xr3:uid="{3049DA03-1CC1-4242-9365-944CA8C5B974}" name="3 Months" dataDxfId="52" dataCellStyle="Comma"/>
    <tableColumn id="9" xr3:uid="{945D8FD3-4D5B-4999-973E-B3F33A0C524C}" name="6 Months" dataDxfId="51" dataCellStyle="Comma"/>
    <tableColumn id="10" xr3:uid="{695F8ED7-7A03-46F8-8958-CB03B20C88E1}" name="1 Year" dataDxfId="50" dataCellStyle="Comma"/>
    <tableColumn id="11" xr3:uid="{51425B8A-7B91-433A-B8BA-F7E1BCA918C4}" name="2 Years" dataDxfId="49" dataCellStyle="Comma"/>
    <tableColumn id="12" xr3:uid="{163AE828-8798-469D-B445-DD072F1D86CA}" name="3 Years" dataDxfId="48" dataCellStyle="Comma"/>
    <tableColumn id="13" xr3:uid="{0A9657DE-0B76-40D1-B801-FEF48D8365B6}" name="4 years" dataDxfId="47" dataCellStyle="Comma"/>
    <tableColumn id="14" xr3:uid="{7B613B37-47EC-4F72-8DDD-2F1C196943AE}" name="5 Years" dataDxfId="46" dataCellStyle="Comma"/>
    <tableColumn id="15" xr3:uid="{4438F53B-1712-4D33-9970-A9D4D812A3C3}" name="10 Years" dataDxfId="45" dataCellStyle="Comma"/>
  </tableColumns>
  <tableStyleInfo name="TableStyleMedium4 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369FD2E-4A16-4C07-AFDA-7FA764F8CE42}" name="Smallcap" displayName="Smallcap" ref="A1:O29" totalsRowShown="0" headerRowDxfId="73" dataDxfId="72" tableBorderDxfId="71" headerRowCellStyle="Comma" dataCellStyle="Comma">
  <tableColumns count="15">
    <tableColumn id="1" xr3:uid="{0E48D3E7-8A9D-4B9A-8A69-F7B3EDBD90ED}" name="Category"/>
    <tableColumn id="2" xr3:uid="{CB7987C5-E473-45D1-8D52-6C349D925281}" name="Scheme Name" dataDxfId="70" dataCellStyle="Normal 3"/>
    <tableColumn id="3" xr3:uid="{8C66BACE-EE17-4403-95F5-954E75671C73}" name="NAV" dataDxfId="69" dataCellStyle="Normal 3"/>
    <tableColumn id="4" xr3:uid="{8D70ED30-29A6-4ED4-ABB2-306547825041}" name="1 Day" dataDxfId="68" dataCellStyle="Comma"/>
    <tableColumn id="5" xr3:uid="{372D2D51-7F7C-4598-AFBF-294EFFA8DB31}" name="1 Week" dataDxfId="67" dataCellStyle="Comma"/>
    <tableColumn id="6" xr3:uid="{28CCE58E-96A7-41A5-AA0F-180094C2C45E}" name="2 Weeks" dataDxfId="66" dataCellStyle="Comma"/>
    <tableColumn id="7" xr3:uid="{BF821621-9D3C-41E1-8B04-F763B3A7556A}" name="1 Month" dataDxfId="65" dataCellStyle="Comma"/>
    <tableColumn id="8" xr3:uid="{38265611-AA14-4033-A979-A2A0D57F11D0}" name="3 Months" dataDxfId="64" dataCellStyle="Comma"/>
    <tableColumn id="9" xr3:uid="{C0B62C54-8D83-4529-B736-61DBBC2159F2}" name="6 Months" dataDxfId="63" dataCellStyle="Comma"/>
    <tableColumn id="10" xr3:uid="{2C0C6AB7-7D1E-4E47-A435-E9FB834B80F3}" name="1 Year" dataDxfId="62" dataCellStyle="Comma"/>
    <tableColumn id="11" xr3:uid="{88C0896C-9AF9-4101-827B-DF5F998BB096}" name="2 Years" dataDxfId="61" dataCellStyle="Comma"/>
    <tableColumn id="12" xr3:uid="{1D1926B1-4F63-4761-9BF6-5D7383B057F7}" name="3 Years" dataDxfId="60" dataCellStyle="Comma"/>
    <tableColumn id="13" xr3:uid="{1D994630-B59F-4142-BFA8-2CADD91182B3}" name="4 years" dataDxfId="59" dataCellStyle="Comma"/>
    <tableColumn id="14" xr3:uid="{EC4A7B10-0DCE-42C3-AD9A-31F97AC4E1C9}" name="5 Years" dataDxfId="58" dataCellStyle="Comma"/>
    <tableColumn id="15" xr3:uid="{FF3CBFEC-B12E-4AB3-A94B-B23405856426}" name="10 Years" dataDxfId="57" dataCellStyle="Comma"/>
  </tableColumns>
  <tableStyleInfo name="TableStyleMedium4 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BB719BA-56C6-4C5C-B80D-2D63427E992C}" name="MasterData" displayName="MasterData" ref="A1:O155" tableType="queryTable" totalsRowShown="0">
  <autoFilter ref="A1:O155" xr:uid="{6BB719BA-56C6-4C5C-B80D-2D63427E992C}"/>
  <tableColumns count="15">
    <tableColumn id="1" xr3:uid="{F718539D-845C-4D15-8CCD-4A523893CF4E}" uniqueName="1" name="Category" queryTableFieldId="1" dataDxfId="5"/>
    <tableColumn id="2" xr3:uid="{355ED3BC-0D6F-48C1-AC75-7F132292A293}" uniqueName="2" name="Scheme Name" queryTableFieldId="2" dataDxfId="4"/>
    <tableColumn id="3" xr3:uid="{04C7A694-197D-47C4-8555-C908AB195EC9}" uniqueName="3" name="NAV" queryTableFieldId="3"/>
    <tableColumn id="4" xr3:uid="{874F94ED-9827-4E25-B4B0-ACDC8B174498}" uniqueName="4" name="1 Day" queryTableFieldId="4"/>
    <tableColumn id="5" xr3:uid="{C7B332D3-CC05-4D76-908A-0EFFE8462166}" uniqueName="5" name="1 Week" queryTableFieldId="5"/>
    <tableColumn id="6" xr3:uid="{DF6B947C-C769-4235-A96C-F99A254673D7}" uniqueName="6" name="2 Weeks" queryTableFieldId="6"/>
    <tableColumn id="7" xr3:uid="{1A5D4878-8D0F-496E-B0E9-B3E2ED8371DF}" uniqueName="7" name="1 Month" queryTableFieldId="7"/>
    <tableColumn id="8" xr3:uid="{C48A6A49-1C78-4E02-A743-99B888C7D232}" uniqueName="8" name="3 Months" queryTableFieldId="8"/>
    <tableColumn id="9" xr3:uid="{BFCDC954-1016-4BEF-95A6-83BFE270640D}" uniqueName="9" name="6 Months" queryTableFieldId="9"/>
    <tableColumn id="10" xr3:uid="{BCA67619-F446-42DA-82E1-3A4DAB35C6AD}" uniqueName="10" name="1 Year" queryTableFieldId="10"/>
    <tableColumn id="11" xr3:uid="{E2DD1786-85F8-42E9-AD61-863A025165C5}" uniqueName="11" name="2 Years" queryTableFieldId="11"/>
    <tableColumn id="12" xr3:uid="{5132BBBC-73E0-4F87-9674-C10A1537178B}" uniqueName="12" name="3 Years" queryTableFieldId="12"/>
    <tableColumn id="13" xr3:uid="{D31FE5F5-DAAB-48C2-B1A6-5013BCDB012F}" uniqueName="13" name="4 years" queryTableFieldId="13"/>
    <tableColumn id="14" xr3:uid="{DC002759-1DE7-49FD-90A8-C0D99503AF2B}" uniqueName="14" name="5 Years" queryTableFieldId="14"/>
    <tableColumn id="15" xr3:uid="{DE2C32FC-377C-430D-84A3-AFA71CCB3F6F}" uniqueName="15" name="10 Years"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F7AD2-7274-48ED-B9F6-99E0CFE57855}">
  <dimension ref="A1:O27"/>
  <sheetViews>
    <sheetView workbookViewId="0">
      <selection sqref="A1:O27"/>
    </sheetView>
  </sheetViews>
  <sheetFormatPr defaultRowHeight="14.4" x14ac:dyDescent="0.3"/>
  <cols>
    <col min="1" max="1" width="13" bestFit="1" customWidth="1"/>
    <col min="2" max="2" width="48.5546875" bestFit="1" customWidth="1"/>
    <col min="4" max="4" width="9.77734375" bestFit="1" customWidth="1"/>
    <col min="5" max="5" width="11.21875" bestFit="1" customWidth="1"/>
    <col min="6" max="6" width="12.5546875" bestFit="1" customWidth="1"/>
    <col min="7" max="7" width="11.77734375" bestFit="1" customWidth="1"/>
    <col min="8" max="9" width="13.109375" bestFit="1" customWidth="1"/>
  </cols>
  <sheetData>
    <row r="1" spans="1:15" ht="15" thickBot="1" x14ac:dyDescent="0.35">
      <c r="A1" s="1" t="s">
        <v>0</v>
      </c>
      <c r="B1" s="2" t="s">
        <v>1</v>
      </c>
      <c r="C1" s="3" t="s">
        <v>2</v>
      </c>
      <c r="D1" s="4" t="s">
        <v>3</v>
      </c>
      <c r="E1" s="4" t="s">
        <v>4</v>
      </c>
      <c r="F1" s="4" t="s">
        <v>5</v>
      </c>
      <c r="G1" s="4" t="s">
        <v>6</v>
      </c>
      <c r="H1" s="4" t="s">
        <v>7</v>
      </c>
      <c r="I1" s="4" t="s">
        <v>8</v>
      </c>
      <c r="J1" s="5" t="s">
        <v>9</v>
      </c>
      <c r="K1" s="6" t="s">
        <v>10</v>
      </c>
      <c r="L1" s="6" t="s">
        <v>11</v>
      </c>
      <c r="M1" s="6" t="s">
        <v>12</v>
      </c>
      <c r="N1" s="6" t="s">
        <v>13</v>
      </c>
      <c r="O1" s="7" t="s">
        <v>14</v>
      </c>
    </row>
    <row r="2" spans="1:15" x14ac:dyDescent="0.3">
      <c r="A2" s="8" t="s">
        <v>15</v>
      </c>
      <c r="B2" s="9" t="s">
        <v>16</v>
      </c>
      <c r="C2" s="117">
        <v>21.13</v>
      </c>
      <c r="D2" s="118">
        <v>0.28315200000000001</v>
      </c>
      <c r="E2" s="119">
        <v>0</v>
      </c>
      <c r="F2" s="119">
        <v>0.236072</v>
      </c>
      <c r="G2" s="119">
        <v>1.8578730000000001</v>
      </c>
      <c r="H2" s="119">
        <v>2.9727100000000002</v>
      </c>
      <c r="I2" s="120">
        <v>0.81106900000000004</v>
      </c>
      <c r="J2" s="121">
        <v>3.2242310000000001</v>
      </c>
      <c r="K2" s="122">
        <v>13.602398000000001</v>
      </c>
      <c r="L2" s="122">
        <v>18.739813000000002</v>
      </c>
      <c r="M2" s="122">
        <v>14.36895</v>
      </c>
      <c r="N2" s="122">
        <v>0</v>
      </c>
      <c r="O2" s="123">
        <v>0</v>
      </c>
    </row>
    <row r="3" spans="1:15" x14ac:dyDescent="0.3">
      <c r="A3" s="10" t="s">
        <v>15</v>
      </c>
      <c r="B3" s="11" t="s">
        <v>17</v>
      </c>
      <c r="C3" s="124">
        <v>19.010000000000002</v>
      </c>
      <c r="D3" s="108">
        <v>0.419068</v>
      </c>
      <c r="E3" s="106">
        <v>0.21085899999999999</v>
      </c>
      <c r="F3" s="106">
        <v>0.26371299999999998</v>
      </c>
      <c r="G3" s="106">
        <v>1.6554580000000001</v>
      </c>
      <c r="H3" s="106">
        <v>2.2592789999999998</v>
      </c>
      <c r="I3" s="109">
        <v>1.224707</v>
      </c>
      <c r="J3" s="105">
        <v>2.535059</v>
      </c>
      <c r="K3" s="106">
        <v>17.654207</v>
      </c>
      <c r="L3" s="106">
        <v>24.162231999999999</v>
      </c>
      <c r="M3" s="106">
        <v>17.391597000000001</v>
      </c>
      <c r="N3" s="106">
        <v>0</v>
      </c>
      <c r="O3" s="107">
        <v>0</v>
      </c>
    </row>
    <row r="4" spans="1:15" x14ac:dyDescent="0.3">
      <c r="A4" s="8" t="s">
        <v>15</v>
      </c>
      <c r="B4" s="12" t="s">
        <v>18</v>
      </c>
      <c r="C4" s="125">
        <v>18.562999999999999</v>
      </c>
      <c r="D4" s="126">
        <v>0.247192</v>
      </c>
      <c r="E4" s="127">
        <v>0.210538</v>
      </c>
      <c r="F4" s="127">
        <v>0.10785699999999999</v>
      </c>
      <c r="G4" s="127">
        <v>0.64229499999999995</v>
      </c>
      <c r="H4" s="127">
        <v>3.7502789999999999</v>
      </c>
      <c r="I4" s="128">
        <v>1.648231</v>
      </c>
      <c r="J4" s="129">
        <v>5.941103</v>
      </c>
      <c r="K4" s="127">
        <v>14.088106</v>
      </c>
      <c r="L4" s="127">
        <v>19.619450000000001</v>
      </c>
      <c r="M4" s="127">
        <v>16.900251000000001</v>
      </c>
      <c r="N4" s="127">
        <v>0</v>
      </c>
      <c r="O4" s="130">
        <v>0</v>
      </c>
    </row>
    <row r="5" spans="1:15" x14ac:dyDescent="0.3">
      <c r="A5" s="10" t="s">
        <v>15</v>
      </c>
      <c r="B5" s="11" t="s">
        <v>19</v>
      </c>
      <c r="C5" s="124">
        <v>19.170000000000002</v>
      </c>
      <c r="D5" s="108">
        <v>0.31201200000000001</v>
      </c>
      <c r="E5" s="106">
        <v>0.577125</v>
      </c>
      <c r="F5" s="106">
        <v>0.94786700000000002</v>
      </c>
      <c r="G5" s="106">
        <v>0.52438399999999996</v>
      </c>
      <c r="H5" s="106">
        <v>6.5591999999999997</v>
      </c>
      <c r="I5" s="109">
        <v>4.6968870000000003</v>
      </c>
      <c r="J5" s="105">
        <v>7.6361590000000001</v>
      </c>
      <c r="K5" s="106">
        <v>16.055130999999999</v>
      </c>
      <c r="L5" s="106">
        <v>0</v>
      </c>
      <c r="M5" s="106">
        <v>0</v>
      </c>
      <c r="N5" s="106">
        <v>0</v>
      </c>
      <c r="O5" s="107">
        <v>0</v>
      </c>
    </row>
    <row r="6" spans="1:15" x14ac:dyDescent="0.3">
      <c r="A6" s="8" t="s">
        <v>15</v>
      </c>
      <c r="B6" s="12" t="s">
        <v>20</v>
      </c>
      <c r="C6" s="125">
        <v>324.6798</v>
      </c>
      <c r="D6" s="126">
        <v>0.23444999999999999</v>
      </c>
      <c r="E6" s="127">
        <v>1.2300000000000001E-4</v>
      </c>
      <c r="F6" s="127">
        <v>0.114658</v>
      </c>
      <c r="G6" s="127">
        <v>1.66835</v>
      </c>
      <c r="H6" s="127">
        <v>3.2090239999999999</v>
      </c>
      <c r="I6" s="128">
        <v>1.4732510000000001</v>
      </c>
      <c r="J6" s="129">
        <v>1.656585</v>
      </c>
      <c r="K6" s="127">
        <v>14.831287</v>
      </c>
      <c r="L6" s="127">
        <v>20.412987000000001</v>
      </c>
      <c r="M6" s="127">
        <v>14.806718</v>
      </c>
      <c r="N6" s="127">
        <v>20.829522999999998</v>
      </c>
      <c r="O6" s="130">
        <v>15.542674999999999</v>
      </c>
    </row>
    <row r="7" spans="1:15" x14ac:dyDescent="0.3">
      <c r="A7" s="10" t="s">
        <v>15</v>
      </c>
      <c r="B7" s="11" t="s">
        <v>21</v>
      </c>
      <c r="C7" s="124">
        <v>15.39</v>
      </c>
      <c r="D7" s="108">
        <v>0.38834999999999997</v>
      </c>
      <c r="E7" s="106">
        <v>0.19531299999999999</v>
      </c>
      <c r="F7" s="106">
        <v>0.26058599999999998</v>
      </c>
      <c r="G7" s="106">
        <v>0.77369399999999999</v>
      </c>
      <c r="H7" s="106">
        <v>4.1976979999999999</v>
      </c>
      <c r="I7" s="109">
        <v>1.8530770000000001</v>
      </c>
      <c r="J7" s="105">
        <v>6.2845300000000002</v>
      </c>
      <c r="K7" s="106">
        <v>15.073285</v>
      </c>
      <c r="L7" s="106">
        <v>0</v>
      </c>
      <c r="M7" s="106">
        <v>0</v>
      </c>
      <c r="N7" s="106">
        <v>0</v>
      </c>
      <c r="O7" s="107">
        <v>0</v>
      </c>
    </row>
    <row r="8" spans="1:15" x14ac:dyDescent="0.3">
      <c r="A8" s="8" t="s">
        <v>15</v>
      </c>
      <c r="B8" s="12" t="s">
        <v>22</v>
      </c>
      <c r="C8" s="125">
        <v>12.394</v>
      </c>
      <c r="D8" s="126">
        <v>0.14502100000000001</v>
      </c>
      <c r="E8" s="127">
        <v>0.12926199999999999</v>
      </c>
      <c r="F8" s="127">
        <v>0.12088</v>
      </c>
      <c r="G8" s="127">
        <v>1.478537</v>
      </c>
      <c r="H8" s="127">
        <v>1.0352980000000001</v>
      </c>
      <c r="I8" s="128">
        <v>0.56959499999999996</v>
      </c>
      <c r="J8" s="129">
        <v>1.77369</v>
      </c>
      <c r="K8" s="127">
        <v>0</v>
      </c>
      <c r="L8" s="127">
        <v>0</v>
      </c>
      <c r="M8" s="127">
        <v>0</v>
      </c>
      <c r="N8" s="127">
        <v>0</v>
      </c>
      <c r="O8" s="130">
        <v>0</v>
      </c>
    </row>
    <row r="9" spans="1:15" x14ac:dyDescent="0.3">
      <c r="A9" s="10" t="s">
        <v>15</v>
      </c>
      <c r="B9" s="11" t="s">
        <v>23</v>
      </c>
      <c r="C9" s="124">
        <v>15.821999999999999</v>
      </c>
      <c r="D9" s="108">
        <v>0.32255600000000001</v>
      </c>
      <c r="E9" s="106">
        <v>0.47691899999999998</v>
      </c>
      <c r="F9" s="106">
        <v>0.33928399999999997</v>
      </c>
      <c r="G9" s="106">
        <v>0.63305400000000001</v>
      </c>
      <c r="H9" s="106">
        <v>5.0827869999999997</v>
      </c>
      <c r="I9" s="109">
        <v>1.2238739999999999</v>
      </c>
      <c r="J9" s="105">
        <v>2.614989</v>
      </c>
      <c r="K9" s="106">
        <v>16.244499000000001</v>
      </c>
      <c r="L9" s="106">
        <v>0</v>
      </c>
      <c r="M9" s="106">
        <v>0</v>
      </c>
      <c r="N9" s="106">
        <v>0</v>
      </c>
      <c r="O9" s="107">
        <v>0</v>
      </c>
    </row>
    <row r="10" spans="1:15" x14ac:dyDescent="0.3">
      <c r="A10" s="8" t="s">
        <v>15</v>
      </c>
      <c r="B10" s="13" t="s">
        <v>24</v>
      </c>
      <c r="C10" s="131">
        <v>10.7818</v>
      </c>
      <c r="D10" s="132">
        <v>0.40827599999999997</v>
      </c>
      <c r="E10" s="133">
        <v>6.4881999999999995E-2</v>
      </c>
      <c r="F10" s="133">
        <v>7.2291999999999995E-2</v>
      </c>
      <c r="G10" s="133">
        <v>1.3369450000000001</v>
      </c>
      <c r="H10" s="133">
        <v>4.1719809999999997</v>
      </c>
      <c r="I10" s="134">
        <v>3.9831029999999998</v>
      </c>
      <c r="J10" s="135">
        <v>6.2298640000000001</v>
      </c>
      <c r="K10" s="133">
        <v>0</v>
      </c>
      <c r="L10" s="133">
        <v>0</v>
      </c>
      <c r="M10" s="133">
        <v>0</v>
      </c>
      <c r="N10" s="133">
        <v>0</v>
      </c>
      <c r="O10" s="136">
        <v>0</v>
      </c>
    </row>
    <row r="11" spans="1:15" x14ac:dyDescent="0.3">
      <c r="A11" s="10" t="s">
        <v>15</v>
      </c>
      <c r="B11" s="14" t="s">
        <v>25</v>
      </c>
      <c r="C11" s="137">
        <v>20.077999999999999</v>
      </c>
      <c r="D11" s="138">
        <v>0.50545099999999998</v>
      </c>
      <c r="E11" s="139">
        <v>1.4944000000000001E-2</v>
      </c>
      <c r="F11" s="139">
        <v>0.25832100000000002</v>
      </c>
      <c r="G11" s="139">
        <v>1.5108410000000001</v>
      </c>
      <c r="H11" s="139">
        <v>3.0063620000000002</v>
      </c>
      <c r="I11" s="140">
        <v>0.27468399999999998</v>
      </c>
      <c r="J11" s="141">
        <v>2.9377080000000002</v>
      </c>
      <c r="K11" s="139">
        <v>12.965498</v>
      </c>
      <c r="L11" s="139">
        <v>21.950717000000001</v>
      </c>
      <c r="M11" s="139">
        <v>19.520492000000001</v>
      </c>
      <c r="N11" s="139">
        <v>0</v>
      </c>
      <c r="O11" s="142">
        <v>0</v>
      </c>
    </row>
    <row r="12" spans="1:15" x14ac:dyDescent="0.3">
      <c r="A12" s="8" t="s">
        <v>15</v>
      </c>
      <c r="B12" s="13" t="s">
        <v>26</v>
      </c>
      <c r="C12" s="131">
        <v>19.686599999999999</v>
      </c>
      <c r="D12" s="132">
        <v>0.40321200000000001</v>
      </c>
      <c r="E12" s="133">
        <v>0.289356</v>
      </c>
      <c r="F12" s="133">
        <v>0.23982300000000001</v>
      </c>
      <c r="G12" s="133">
        <v>1.3865369999999999</v>
      </c>
      <c r="H12" s="133">
        <v>3.358009</v>
      </c>
      <c r="I12" s="134">
        <v>1.8700969999999999</v>
      </c>
      <c r="J12" s="135">
        <v>2.2048709999999998</v>
      </c>
      <c r="K12" s="133">
        <v>15.682248</v>
      </c>
      <c r="L12" s="133">
        <v>0</v>
      </c>
      <c r="M12" s="133">
        <v>0</v>
      </c>
      <c r="N12" s="133">
        <v>0</v>
      </c>
      <c r="O12" s="136">
        <v>0</v>
      </c>
    </row>
    <row r="13" spans="1:15" x14ac:dyDescent="0.3">
      <c r="A13" s="10" t="s">
        <v>15</v>
      </c>
      <c r="B13" s="14" t="s">
        <v>27</v>
      </c>
      <c r="C13" s="137">
        <v>896.38</v>
      </c>
      <c r="D13" s="138">
        <v>0.24594099999999999</v>
      </c>
      <c r="E13" s="139">
        <v>0.71006400000000003</v>
      </c>
      <c r="F13" s="139">
        <v>0.86985900000000005</v>
      </c>
      <c r="G13" s="139">
        <v>0.48294199999999998</v>
      </c>
      <c r="H13" s="139">
        <v>3.3481679999999998</v>
      </c>
      <c r="I13" s="140">
        <v>0.55077600000000004</v>
      </c>
      <c r="J13" s="141">
        <v>5.5048789999999999</v>
      </c>
      <c r="K13" s="139">
        <v>14.181456000000001</v>
      </c>
      <c r="L13" s="139">
        <v>21.120365</v>
      </c>
      <c r="M13" s="139">
        <v>17.272043</v>
      </c>
      <c r="N13" s="139">
        <v>21.027916000000001</v>
      </c>
      <c r="O13" s="142">
        <v>16.007045999999999</v>
      </c>
    </row>
    <row r="14" spans="1:15" x14ac:dyDescent="0.3">
      <c r="A14" s="8" t="s">
        <v>15</v>
      </c>
      <c r="B14" s="13" t="s">
        <v>28</v>
      </c>
      <c r="C14" s="131">
        <v>151.77000000000001</v>
      </c>
      <c r="D14" s="132">
        <v>0.543906</v>
      </c>
      <c r="E14" s="133">
        <v>0.23663999999999999</v>
      </c>
      <c r="F14" s="133">
        <v>0.758517</v>
      </c>
      <c r="G14" s="133">
        <v>3.2140810000000002</v>
      </c>
      <c r="H14" s="133">
        <v>7.9130000000000006E-2</v>
      </c>
      <c r="I14" s="134">
        <v>4.3727549999999997</v>
      </c>
      <c r="J14" s="135">
        <v>5.3979929999999996</v>
      </c>
      <c r="K14" s="133">
        <v>12.042280999999999</v>
      </c>
      <c r="L14" s="133">
        <v>18.851519</v>
      </c>
      <c r="M14" s="133">
        <v>13.927177</v>
      </c>
      <c r="N14" s="133">
        <v>19.054973</v>
      </c>
      <c r="O14" s="136">
        <v>15.244415999999999</v>
      </c>
    </row>
    <row r="15" spans="1:15" x14ac:dyDescent="0.3">
      <c r="A15" s="10" t="s">
        <v>15</v>
      </c>
      <c r="B15" s="14" t="s">
        <v>29</v>
      </c>
      <c r="C15" s="137">
        <v>27.387</v>
      </c>
      <c r="D15" s="138">
        <v>0.133462</v>
      </c>
      <c r="E15" s="139">
        <v>0.74416899999999997</v>
      </c>
      <c r="F15" s="139">
        <v>1.1934670000000001</v>
      </c>
      <c r="G15" s="139">
        <v>0.41271999999999998</v>
      </c>
      <c r="H15" s="139">
        <v>5.3504180000000003</v>
      </c>
      <c r="I15" s="140">
        <v>1.766146</v>
      </c>
      <c r="J15" s="141">
        <v>4.0535560000000004</v>
      </c>
      <c r="K15" s="139">
        <v>13.491997</v>
      </c>
      <c r="L15" s="139">
        <v>22.162621000000001</v>
      </c>
      <c r="M15" s="139">
        <v>17.769137000000001</v>
      </c>
      <c r="N15" s="139">
        <v>18.547250999999999</v>
      </c>
      <c r="O15" s="142">
        <v>0</v>
      </c>
    </row>
    <row r="16" spans="1:15" x14ac:dyDescent="0.3">
      <c r="A16" s="8" t="s">
        <v>15</v>
      </c>
      <c r="B16" s="13" t="s">
        <v>30</v>
      </c>
      <c r="C16" s="131">
        <v>21.289000000000001</v>
      </c>
      <c r="D16" s="132">
        <v>0.402339</v>
      </c>
      <c r="E16" s="133">
        <v>0.67149000000000003</v>
      </c>
      <c r="F16" s="133">
        <v>0.58587299999999998</v>
      </c>
      <c r="G16" s="133">
        <v>0.81993899999999997</v>
      </c>
      <c r="H16" s="133">
        <v>5.2035980000000004</v>
      </c>
      <c r="I16" s="134">
        <v>6.3014929999999998</v>
      </c>
      <c r="J16" s="135">
        <v>6.8885880000000004</v>
      </c>
      <c r="K16" s="133">
        <v>18.231971999999999</v>
      </c>
      <c r="L16" s="133">
        <v>25.611017</v>
      </c>
      <c r="M16" s="133">
        <v>22.241882</v>
      </c>
      <c r="N16" s="133">
        <v>0</v>
      </c>
      <c r="O16" s="136">
        <v>0</v>
      </c>
    </row>
    <row r="17" spans="1:15" x14ac:dyDescent="0.3">
      <c r="A17" s="10" t="s">
        <v>15</v>
      </c>
      <c r="B17" s="14" t="s">
        <v>31</v>
      </c>
      <c r="C17" s="137">
        <v>18.221699999999998</v>
      </c>
      <c r="D17" s="138">
        <v>0.44201400000000002</v>
      </c>
      <c r="E17" s="139">
        <v>0.30275200000000002</v>
      </c>
      <c r="F17" s="139">
        <v>0.13463600000000001</v>
      </c>
      <c r="G17" s="139">
        <v>1.161327</v>
      </c>
      <c r="H17" s="139">
        <v>3.763496</v>
      </c>
      <c r="I17" s="140">
        <v>2.2002980000000001</v>
      </c>
      <c r="J17" s="141">
        <v>2.2088969999999999</v>
      </c>
      <c r="K17" s="139">
        <v>17.920662</v>
      </c>
      <c r="L17" s="139">
        <v>22.838654999999999</v>
      </c>
      <c r="M17" s="139">
        <v>0</v>
      </c>
      <c r="N17" s="139">
        <v>0</v>
      </c>
      <c r="O17" s="142">
        <v>0</v>
      </c>
    </row>
    <row r="18" spans="1:15" x14ac:dyDescent="0.3">
      <c r="A18" s="8" t="s">
        <v>15</v>
      </c>
      <c r="B18" s="13" t="s">
        <v>32</v>
      </c>
      <c r="C18" s="131">
        <v>41.916600000000003</v>
      </c>
      <c r="D18" s="132">
        <v>0.33857199999999998</v>
      </c>
      <c r="E18" s="133">
        <v>0.43368299999999999</v>
      </c>
      <c r="F18" s="133">
        <v>0.51725500000000002</v>
      </c>
      <c r="G18" s="133">
        <v>1.2807230000000001</v>
      </c>
      <c r="H18" s="133">
        <v>4.6962260000000002</v>
      </c>
      <c r="I18" s="134">
        <v>1.2397560000000001</v>
      </c>
      <c r="J18" s="135">
        <v>4.74803</v>
      </c>
      <c r="K18" s="133">
        <v>14.914705</v>
      </c>
      <c r="L18" s="133">
        <v>22.268968999999998</v>
      </c>
      <c r="M18" s="133">
        <v>17.315017999999998</v>
      </c>
      <c r="N18" s="133">
        <v>23.624762</v>
      </c>
      <c r="O18" s="136">
        <v>0</v>
      </c>
    </row>
    <row r="19" spans="1:15" x14ac:dyDescent="0.3">
      <c r="A19" s="10" t="s">
        <v>15</v>
      </c>
      <c r="B19" s="14" t="s">
        <v>33</v>
      </c>
      <c r="C19" s="137">
        <v>15.244999999999999</v>
      </c>
      <c r="D19" s="138">
        <v>0.117932</v>
      </c>
      <c r="E19" s="139">
        <v>0.249885</v>
      </c>
      <c r="F19" s="139">
        <v>0</v>
      </c>
      <c r="G19" s="139">
        <v>1.0321990000000001</v>
      </c>
      <c r="H19" s="139">
        <v>4.2820989999999997</v>
      </c>
      <c r="I19" s="140">
        <v>2.7083469999999998</v>
      </c>
      <c r="J19" s="141">
        <v>9.0018589999999996</v>
      </c>
      <c r="K19" s="139">
        <v>15.060898</v>
      </c>
      <c r="L19" s="139">
        <v>0</v>
      </c>
      <c r="M19" s="139">
        <v>0</v>
      </c>
      <c r="N19" s="139">
        <v>0</v>
      </c>
      <c r="O19" s="142">
        <v>0</v>
      </c>
    </row>
    <row r="20" spans="1:15" x14ac:dyDescent="0.3">
      <c r="A20" s="8" t="s">
        <v>15</v>
      </c>
      <c r="B20" s="13" t="s">
        <v>34</v>
      </c>
      <c r="C20" s="131">
        <v>13.5893</v>
      </c>
      <c r="D20" s="132">
        <v>0.55105899999999997</v>
      </c>
      <c r="E20" s="133">
        <v>1.1809449999999999</v>
      </c>
      <c r="F20" s="133">
        <v>1.12774</v>
      </c>
      <c r="G20" s="133">
        <v>4.7414430000000003</v>
      </c>
      <c r="H20" s="133">
        <v>0.44793699999999997</v>
      </c>
      <c r="I20" s="134">
        <v>0.73919900000000005</v>
      </c>
      <c r="J20" s="135">
        <v>0.69567800000000002</v>
      </c>
      <c r="K20" s="133">
        <v>0</v>
      </c>
      <c r="L20" s="133">
        <v>0</v>
      </c>
      <c r="M20" s="133">
        <v>0</v>
      </c>
      <c r="N20" s="133">
        <v>0</v>
      </c>
      <c r="O20" s="136">
        <v>0</v>
      </c>
    </row>
    <row r="21" spans="1:15" x14ac:dyDescent="0.3">
      <c r="A21" s="10" t="s">
        <v>15</v>
      </c>
      <c r="B21" s="14" t="s">
        <v>35</v>
      </c>
      <c r="C21" s="137">
        <v>330.2593</v>
      </c>
      <c r="D21" s="138">
        <v>0.33777099999999999</v>
      </c>
      <c r="E21" s="139">
        <v>0.35750900000000002</v>
      </c>
      <c r="F21" s="139">
        <v>0.51205100000000003</v>
      </c>
      <c r="G21" s="139">
        <v>1.3296589999999999</v>
      </c>
      <c r="H21" s="139">
        <v>1.1490389999999999</v>
      </c>
      <c r="I21" s="140">
        <v>0.22453000000000001</v>
      </c>
      <c r="J21" s="141">
        <v>4.4750439999999996</v>
      </c>
      <c r="K21" s="139">
        <v>16.182231000000002</v>
      </c>
      <c r="L21" s="139">
        <v>23.188583000000001</v>
      </c>
      <c r="M21" s="139">
        <v>21.315804</v>
      </c>
      <c r="N21" s="139">
        <v>26.346160000000001</v>
      </c>
      <c r="O21" s="142">
        <v>15.907949</v>
      </c>
    </row>
    <row r="22" spans="1:15" x14ac:dyDescent="0.3">
      <c r="A22" s="8" t="s">
        <v>15</v>
      </c>
      <c r="B22" s="13" t="s">
        <v>36</v>
      </c>
      <c r="C22" s="131">
        <v>667.65880000000004</v>
      </c>
      <c r="D22" s="132">
        <v>0.20589299999999999</v>
      </c>
      <c r="E22" s="133">
        <v>4.9461999999999999E-2</v>
      </c>
      <c r="F22" s="133">
        <v>0.49853700000000001</v>
      </c>
      <c r="G22" s="133">
        <v>1.908228</v>
      </c>
      <c r="H22" s="133">
        <v>0.190715</v>
      </c>
      <c r="I22" s="134">
        <v>3.8692530000000001</v>
      </c>
      <c r="J22" s="135">
        <v>3.1268440000000002</v>
      </c>
      <c r="K22" s="133">
        <v>5.2202669999999998</v>
      </c>
      <c r="L22" s="133">
        <v>12.127440999999999</v>
      </c>
      <c r="M22" s="133">
        <v>11.867419999999999</v>
      </c>
      <c r="N22" s="133">
        <v>20.033632000000001</v>
      </c>
      <c r="O22" s="136">
        <v>17.601459999999999</v>
      </c>
    </row>
    <row r="23" spans="1:15" x14ac:dyDescent="0.3">
      <c r="A23" s="10" t="s">
        <v>15</v>
      </c>
      <c r="B23" s="14" t="s">
        <v>37</v>
      </c>
      <c r="C23" s="137">
        <v>17.520399999999999</v>
      </c>
      <c r="D23" s="138">
        <v>0.29364899999999999</v>
      </c>
      <c r="E23" s="139">
        <v>0.40804200000000002</v>
      </c>
      <c r="F23" s="139">
        <v>0.69095300000000004</v>
      </c>
      <c r="G23" s="139">
        <v>1.9777439999999999</v>
      </c>
      <c r="H23" s="139">
        <v>0.84496000000000004</v>
      </c>
      <c r="I23" s="140">
        <v>0.87468199999999996</v>
      </c>
      <c r="J23" s="141">
        <v>3.8184399999999998</v>
      </c>
      <c r="K23" s="139">
        <v>15.382816</v>
      </c>
      <c r="L23" s="139">
        <v>18.223047999999999</v>
      </c>
      <c r="M23" s="139">
        <v>0</v>
      </c>
      <c r="N23" s="139">
        <v>0</v>
      </c>
      <c r="O23" s="142">
        <v>0</v>
      </c>
    </row>
    <row r="24" spans="1:15" x14ac:dyDescent="0.3">
      <c r="A24" s="8" t="s">
        <v>15</v>
      </c>
      <c r="B24" s="13" t="s">
        <v>38</v>
      </c>
      <c r="C24" s="131">
        <v>435.01159999999999</v>
      </c>
      <c r="D24" s="132">
        <v>0.14796100000000001</v>
      </c>
      <c r="E24" s="133">
        <v>0.59592800000000001</v>
      </c>
      <c r="F24" s="133">
        <v>0.38572499999999998</v>
      </c>
      <c r="G24" s="133">
        <v>1.31271</v>
      </c>
      <c r="H24" s="133">
        <v>3.3202929999999999</v>
      </c>
      <c r="I24" s="134">
        <v>2.5558839999999998</v>
      </c>
      <c r="J24" s="135">
        <v>5.6670780000000001</v>
      </c>
      <c r="K24" s="133">
        <v>13.672294000000001</v>
      </c>
      <c r="L24" s="133">
        <v>19.297048</v>
      </c>
      <c r="M24" s="133">
        <v>14.592053999999999</v>
      </c>
      <c r="N24" s="133">
        <v>20.389984999999999</v>
      </c>
      <c r="O24" s="136">
        <v>16.216308000000001</v>
      </c>
    </row>
    <row r="25" spans="1:15" x14ac:dyDescent="0.3">
      <c r="A25" s="10" t="s">
        <v>15</v>
      </c>
      <c r="B25" s="14" t="s">
        <v>39</v>
      </c>
      <c r="C25" s="137">
        <v>15.436199999999999</v>
      </c>
      <c r="D25" s="138">
        <v>0.198488</v>
      </c>
      <c r="E25" s="139">
        <v>0.33670499999999998</v>
      </c>
      <c r="F25" s="139">
        <v>0.16156999999999999</v>
      </c>
      <c r="G25" s="139">
        <v>0.24363599999999999</v>
      </c>
      <c r="H25" s="139">
        <v>5.3421050000000001</v>
      </c>
      <c r="I25" s="140">
        <v>3.5659890000000001</v>
      </c>
      <c r="J25" s="141">
        <v>4.2725809999999997</v>
      </c>
      <c r="K25" s="139">
        <v>9.6561559999999993</v>
      </c>
      <c r="L25" s="139">
        <v>0</v>
      </c>
      <c r="M25" s="139">
        <v>0</v>
      </c>
      <c r="N25" s="139">
        <v>0</v>
      </c>
      <c r="O25" s="142">
        <v>0</v>
      </c>
    </row>
    <row r="26" spans="1:15" x14ac:dyDescent="0.3">
      <c r="A26" s="8" t="s">
        <v>15</v>
      </c>
      <c r="B26" s="13" t="s">
        <v>40</v>
      </c>
      <c r="C26" s="131">
        <v>16.809999999999999</v>
      </c>
      <c r="D26" s="132">
        <v>0.53254400000000002</v>
      </c>
      <c r="E26" s="133">
        <v>5.9452999999999999E-2</v>
      </c>
      <c r="F26" s="133">
        <v>0.119119</v>
      </c>
      <c r="G26" s="133">
        <v>1.7533609999999999</v>
      </c>
      <c r="H26" s="133">
        <v>3.192142</v>
      </c>
      <c r="I26" s="134">
        <v>2.8763770000000002</v>
      </c>
      <c r="J26" s="135">
        <v>3.3189920000000002</v>
      </c>
      <c r="K26" s="133">
        <v>13.747272000000001</v>
      </c>
      <c r="L26" s="133">
        <v>19.986827000000002</v>
      </c>
      <c r="M26" s="133">
        <v>0</v>
      </c>
      <c r="N26" s="133">
        <v>0</v>
      </c>
      <c r="O26" s="136">
        <v>0</v>
      </c>
    </row>
    <row r="27" spans="1:15" x14ac:dyDescent="0.3">
      <c r="A27" s="10" t="s">
        <v>15</v>
      </c>
      <c r="B27" s="14" t="s">
        <v>41</v>
      </c>
      <c r="C27" s="137">
        <v>15.987</v>
      </c>
      <c r="D27" s="138">
        <v>0.51029899999999995</v>
      </c>
      <c r="E27" s="139">
        <v>0.16236800000000001</v>
      </c>
      <c r="F27" s="139">
        <v>0.26202500000000001</v>
      </c>
      <c r="G27" s="139">
        <v>2.2022390000000001</v>
      </c>
      <c r="H27" s="139">
        <v>4.0955849999999998</v>
      </c>
      <c r="I27" s="140">
        <v>3.5561600000000002</v>
      </c>
      <c r="J27" s="141">
        <v>7.1945819999999996</v>
      </c>
      <c r="K27" s="139">
        <v>18.893564999999999</v>
      </c>
      <c r="L27" s="139">
        <v>0</v>
      </c>
      <c r="M27" s="139">
        <v>0</v>
      </c>
      <c r="N27" s="139">
        <v>0</v>
      </c>
      <c r="O27" s="142">
        <v>0</v>
      </c>
    </row>
  </sheetData>
  <phoneticPr fontId="10"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8009D-9EE5-4F7A-8723-B3B2D008C300}">
  <dimension ref="A1:O40"/>
  <sheetViews>
    <sheetView workbookViewId="0">
      <selection sqref="A1:O33"/>
    </sheetView>
  </sheetViews>
  <sheetFormatPr defaultRowHeight="14.4" x14ac:dyDescent="0.3"/>
  <cols>
    <col min="1" max="1" width="14.33203125" customWidth="1"/>
    <col min="2" max="2" width="48.21875" bestFit="1" customWidth="1"/>
    <col min="3" max="3" width="8" bestFit="1" customWidth="1"/>
    <col min="6" max="6" width="10" customWidth="1"/>
    <col min="7" max="7" width="9.21875" customWidth="1"/>
    <col min="8" max="9" width="10.5546875" customWidth="1"/>
    <col min="11" max="14" width="9.21875" customWidth="1"/>
    <col min="15" max="15" width="9.88671875" customWidth="1"/>
  </cols>
  <sheetData>
    <row r="1" spans="1:15" ht="15" thickBot="1" x14ac:dyDescent="0.35">
      <c r="A1" s="33" t="s">
        <v>0</v>
      </c>
      <c r="B1" s="34" t="s">
        <v>1</v>
      </c>
      <c r="C1" s="35" t="s">
        <v>2</v>
      </c>
      <c r="D1" s="36" t="s">
        <v>3</v>
      </c>
      <c r="E1" s="37" t="s">
        <v>4</v>
      </c>
      <c r="F1" s="37" t="s">
        <v>5</v>
      </c>
      <c r="G1" s="37" t="s">
        <v>6</v>
      </c>
      <c r="H1" s="37" t="s">
        <v>7</v>
      </c>
      <c r="I1" s="38" t="s">
        <v>8</v>
      </c>
      <c r="J1" s="39" t="s">
        <v>9</v>
      </c>
      <c r="K1" s="39" t="s">
        <v>10</v>
      </c>
      <c r="L1" s="39" t="s">
        <v>11</v>
      </c>
      <c r="M1" s="39" t="s">
        <v>12</v>
      </c>
      <c r="N1" s="39" t="s">
        <v>13</v>
      </c>
      <c r="O1" s="39" t="s">
        <v>14</v>
      </c>
    </row>
    <row r="2" spans="1:15" x14ac:dyDescent="0.3">
      <c r="A2" t="s">
        <v>81</v>
      </c>
      <c r="B2" s="29" t="s">
        <v>42</v>
      </c>
      <c r="C2" s="97">
        <v>15.776199999999999</v>
      </c>
      <c r="D2" s="98">
        <v>0.51018200000000002</v>
      </c>
      <c r="E2" s="99">
        <v>0.270121</v>
      </c>
      <c r="F2" s="99">
        <v>9.6888000000000002E-2</v>
      </c>
      <c r="G2" s="99">
        <v>1.4726459999999999</v>
      </c>
      <c r="H2" s="99">
        <v>2.8368419999999999</v>
      </c>
      <c r="I2" s="100">
        <v>0.56413599999999997</v>
      </c>
      <c r="J2" s="101">
        <v>1.939119</v>
      </c>
      <c r="K2" s="102">
        <v>15.242093000000001</v>
      </c>
      <c r="L2" s="102">
        <v>0</v>
      </c>
      <c r="M2" s="102">
        <v>0</v>
      </c>
      <c r="N2" s="102">
        <v>0</v>
      </c>
      <c r="O2" s="103">
        <v>0</v>
      </c>
    </row>
    <row r="3" spans="1:15" x14ac:dyDescent="0.3">
      <c r="A3" t="s">
        <v>81</v>
      </c>
      <c r="B3" s="30" t="s">
        <v>43</v>
      </c>
      <c r="C3" s="104">
        <v>2113.46</v>
      </c>
      <c r="D3" s="105">
        <v>0.38132500000000003</v>
      </c>
      <c r="E3" s="106">
        <v>6.2418000000000001E-2</v>
      </c>
      <c r="F3" s="106">
        <v>0.44771</v>
      </c>
      <c r="G3" s="106">
        <v>7.3758000000000004E-2</v>
      </c>
      <c r="H3" s="106">
        <v>6.836449</v>
      </c>
      <c r="I3" s="107">
        <v>4.2263380000000002</v>
      </c>
      <c r="J3" s="108">
        <v>11.336111000000001</v>
      </c>
      <c r="K3" s="106">
        <v>16.284361000000001</v>
      </c>
      <c r="L3" s="106">
        <v>19.468910000000001</v>
      </c>
      <c r="M3" s="106">
        <v>14.724658</v>
      </c>
      <c r="N3" s="106">
        <v>17.676632999999999</v>
      </c>
      <c r="O3" s="109">
        <v>15.919178</v>
      </c>
    </row>
    <row r="4" spans="1:15" x14ac:dyDescent="0.3">
      <c r="A4" t="s">
        <v>81</v>
      </c>
      <c r="B4" s="30" t="s">
        <v>44</v>
      </c>
      <c r="C4" s="104">
        <v>29.52</v>
      </c>
      <c r="D4" s="105">
        <v>0.43844899999999998</v>
      </c>
      <c r="E4" s="106">
        <v>0.27173900000000001</v>
      </c>
      <c r="F4" s="106">
        <v>0.50556100000000004</v>
      </c>
      <c r="G4" s="106">
        <v>1.9269099999999999</v>
      </c>
      <c r="H4" s="106">
        <v>0.957592</v>
      </c>
      <c r="I4" s="107">
        <v>1.0392220000000001</v>
      </c>
      <c r="J4" s="108">
        <v>2.5</v>
      </c>
      <c r="K4" s="106">
        <v>13.726616999999999</v>
      </c>
      <c r="L4" s="106">
        <v>15.736050000000001</v>
      </c>
      <c r="M4" s="106">
        <v>9.9353870000000004</v>
      </c>
      <c r="N4" s="106">
        <v>13.491042</v>
      </c>
      <c r="O4" s="109">
        <v>0</v>
      </c>
    </row>
    <row r="5" spans="1:15" x14ac:dyDescent="0.3">
      <c r="A5" t="s">
        <v>81</v>
      </c>
      <c r="B5" s="30" t="s">
        <v>45</v>
      </c>
      <c r="C5" s="104">
        <v>15.393000000000001</v>
      </c>
      <c r="D5" s="105">
        <v>0.51702999999999999</v>
      </c>
      <c r="E5" s="106">
        <v>3.8994000000000001E-2</v>
      </c>
      <c r="F5" s="106">
        <v>6.5006999999999995E-2</v>
      </c>
      <c r="G5" s="106">
        <v>2.1175120000000001</v>
      </c>
      <c r="H5" s="106">
        <v>3.5310730000000001</v>
      </c>
      <c r="I5" s="107">
        <v>1.7315449999999999</v>
      </c>
      <c r="J5" s="108">
        <v>7.7337629999999997</v>
      </c>
      <c r="K5" s="106">
        <v>18.259623000000001</v>
      </c>
      <c r="L5" s="106">
        <v>0</v>
      </c>
      <c r="M5" s="106">
        <v>0</v>
      </c>
      <c r="N5" s="106">
        <v>0</v>
      </c>
      <c r="O5" s="109">
        <v>0</v>
      </c>
    </row>
    <row r="6" spans="1:15" x14ac:dyDescent="0.3">
      <c r="A6" t="s">
        <v>81</v>
      </c>
      <c r="B6" s="31" t="s">
        <v>46</v>
      </c>
      <c r="C6" s="110">
        <v>235.92500000000001</v>
      </c>
      <c r="D6" s="111">
        <v>0.39685100000000001</v>
      </c>
      <c r="E6" s="112">
        <v>0.30014600000000002</v>
      </c>
      <c r="F6" s="112">
        <v>0.185308</v>
      </c>
      <c r="G6" s="112">
        <v>0.54213299999999998</v>
      </c>
      <c r="H6" s="112">
        <v>4.8071109999999999</v>
      </c>
      <c r="I6" s="113">
        <v>2.3207300000000002</v>
      </c>
      <c r="J6" s="114">
        <v>9.6346520000000009</v>
      </c>
      <c r="K6" s="112">
        <v>13.744486</v>
      </c>
      <c r="L6" s="112">
        <v>17.057713</v>
      </c>
      <c r="M6" s="112">
        <v>12.807001</v>
      </c>
      <c r="N6" s="112">
        <v>16.476405</v>
      </c>
      <c r="O6" s="115">
        <v>12.383319</v>
      </c>
    </row>
    <row r="7" spans="1:15" x14ac:dyDescent="0.3">
      <c r="A7" t="s">
        <v>81</v>
      </c>
      <c r="B7" s="30" t="s">
        <v>47</v>
      </c>
      <c r="C7" s="104">
        <v>38.36</v>
      </c>
      <c r="D7" s="105">
        <v>0.285937</v>
      </c>
      <c r="E7" s="106">
        <v>0.57682199999999995</v>
      </c>
      <c r="F7" s="106">
        <v>0.94736799999999999</v>
      </c>
      <c r="G7" s="106">
        <v>0.90415900000000005</v>
      </c>
      <c r="H7" s="106">
        <v>2.7867099999999998</v>
      </c>
      <c r="I7" s="107">
        <v>2.5120260000000001</v>
      </c>
      <c r="J7" s="108">
        <v>0.285937</v>
      </c>
      <c r="K7" s="106">
        <v>15.258694</v>
      </c>
      <c r="L7" s="106">
        <v>23.24184</v>
      </c>
      <c r="M7" s="106">
        <v>17.550550000000001</v>
      </c>
      <c r="N7" s="106">
        <v>22.923321999999999</v>
      </c>
      <c r="O7" s="109">
        <v>0</v>
      </c>
    </row>
    <row r="8" spans="1:15" x14ac:dyDescent="0.3">
      <c r="A8" t="s">
        <v>81</v>
      </c>
      <c r="B8" s="30" t="s">
        <v>48</v>
      </c>
      <c r="C8" s="104">
        <v>16.506399999999999</v>
      </c>
      <c r="D8" s="105">
        <v>0.220638</v>
      </c>
      <c r="E8" s="106">
        <v>0.44910699999999998</v>
      </c>
      <c r="F8" s="106">
        <v>0.26849400000000001</v>
      </c>
      <c r="G8" s="106">
        <v>1.7365060000000001</v>
      </c>
      <c r="H8" s="106">
        <v>4.9344570000000001</v>
      </c>
      <c r="I8" s="107">
        <v>0.92817899999999998</v>
      </c>
      <c r="J8" s="108">
        <v>2.3614630000000001</v>
      </c>
      <c r="K8" s="106">
        <v>12.868607000000001</v>
      </c>
      <c r="L8" s="106">
        <v>17.935737</v>
      </c>
      <c r="M8" s="106">
        <v>0</v>
      </c>
      <c r="N8" s="106">
        <v>0</v>
      </c>
      <c r="O8" s="109">
        <v>0</v>
      </c>
    </row>
    <row r="9" spans="1:15" x14ac:dyDescent="0.3">
      <c r="A9" t="s">
        <v>81</v>
      </c>
      <c r="B9" s="30" t="s">
        <v>49</v>
      </c>
      <c r="C9" s="104">
        <v>393.57</v>
      </c>
      <c r="D9" s="105">
        <v>0.37968000000000002</v>
      </c>
      <c r="E9" s="106">
        <v>0.37234400000000001</v>
      </c>
      <c r="F9" s="106">
        <v>5.0819999999999997E-3</v>
      </c>
      <c r="G9" s="106">
        <v>1.0110920000000001</v>
      </c>
      <c r="H9" s="106">
        <v>3.5165700000000002</v>
      </c>
      <c r="I9" s="107">
        <v>1.7897320000000001</v>
      </c>
      <c r="J9" s="108">
        <v>7.9812339999999997</v>
      </c>
      <c r="K9" s="106">
        <v>14.392378000000001</v>
      </c>
      <c r="L9" s="106">
        <v>17.238545999999999</v>
      </c>
      <c r="M9" s="106">
        <v>13.073130000000001</v>
      </c>
      <c r="N9" s="106">
        <v>16.849492999999999</v>
      </c>
      <c r="O9" s="109">
        <v>15.447528</v>
      </c>
    </row>
    <row r="10" spans="1:15" x14ac:dyDescent="0.3">
      <c r="A10" t="s">
        <v>81</v>
      </c>
      <c r="B10" s="30" t="s">
        <v>50</v>
      </c>
      <c r="C10" s="104">
        <v>117.014</v>
      </c>
      <c r="D10" s="105">
        <v>0.46274999999999999</v>
      </c>
      <c r="E10" s="106">
        <v>1.1110999999999999E-2</v>
      </c>
      <c r="F10" s="106">
        <v>0.139958</v>
      </c>
      <c r="G10" s="106">
        <v>0.71021900000000004</v>
      </c>
      <c r="H10" s="106">
        <v>3.9533070000000001</v>
      </c>
      <c r="I10" s="107">
        <v>1.0396339999999999</v>
      </c>
      <c r="J10" s="108">
        <v>5.481687</v>
      </c>
      <c r="K10" s="106">
        <v>13.154866</v>
      </c>
      <c r="L10" s="106">
        <v>19.245301000000001</v>
      </c>
      <c r="M10" s="106">
        <v>13.516342</v>
      </c>
      <c r="N10" s="106">
        <v>17.187735</v>
      </c>
      <c r="O10" s="109">
        <v>15.621477000000001</v>
      </c>
    </row>
    <row r="11" spans="1:15" x14ac:dyDescent="0.3">
      <c r="A11" t="s">
        <v>81</v>
      </c>
      <c r="B11" s="30" t="s">
        <v>51</v>
      </c>
      <c r="C11" s="104">
        <v>46.119</v>
      </c>
      <c r="D11" s="105">
        <v>0.34357599999999999</v>
      </c>
      <c r="E11" s="106">
        <v>0.35032000000000002</v>
      </c>
      <c r="F11" s="106">
        <v>0.47712399999999999</v>
      </c>
      <c r="G11" s="106">
        <v>0.24010400000000001</v>
      </c>
      <c r="H11" s="106">
        <v>6.0036319999999996</v>
      </c>
      <c r="I11" s="107">
        <v>3.6638269999999999</v>
      </c>
      <c r="J11" s="108">
        <v>6.0816559999999997</v>
      </c>
      <c r="K11" s="106">
        <v>17.061339</v>
      </c>
      <c r="L11" s="106">
        <v>21.349920999999998</v>
      </c>
      <c r="M11" s="106">
        <v>16.820526000000001</v>
      </c>
      <c r="N11" s="106">
        <v>20.502867999999999</v>
      </c>
      <c r="O11" s="109">
        <v>16.649038999999998</v>
      </c>
    </row>
    <row r="12" spans="1:15" x14ac:dyDescent="0.3">
      <c r="A12" t="s">
        <v>81</v>
      </c>
      <c r="B12" s="30" t="s">
        <v>52</v>
      </c>
      <c r="C12" s="104">
        <v>1858.1522</v>
      </c>
      <c r="D12" s="105">
        <v>0.25506400000000001</v>
      </c>
      <c r="E12" s="106">
        <v>0.13603499999999999</v>
      </c>
      <c r="F12" s="106">
        <v>0.28267900000000001</v>
      </c>
      <c r="G12" s="106">
        <v>1.154614</v>
      </c>
      <c r="H12" s="106">
        <v>4.1194819999999996</v>
      </c>
      <c r="I12" s="107">
        <v>8.0881999999999996E-2</v>
      </c>
      <c r="J12" s="108">
        <v>4.0863019999999999</v>
      </c>
      <c r="K12" s="106">
        <v>13.779871</v>
      </c>
      <c r="L12" s="106">
        <v>19.097957000000001</v>
      </c>
      <c r="M12" s="106">
        <v>16.148848000000001</v>
      </c>
      <c r="N12" s="106">
        <v>20.756038</v>
      </c>
      <c r="O12" s="109">
        <v>15.37608</v>
      </c>
    </row>
    <row r="13" spans="1:15" x14ac:dyDescent="0.3">
      <c r="A13" t="s">
        <v>81</v>
      </c>
      <c r="B13" s="30" t="s">
        <v>53</v>
      </c>
      <c r="C13" s="104">
        <v>2259.64</v>
      </c>
      <c r="D13" s="105">
        <v>0.29822599999999999</v>
      </c>
      <c r="E13" s="106">
        <v>0.14399100000000001</v>
      </c>
      <c r="F13" s="106">
        <v>0.57827799999999996</v>
      </c>
      <c r="G13" s="106">
        <v>1.0776380000000001</v>
      </c>
      <c r="H13" s="106">
        <v>2.7924419999999999</v>
      </c>
      <c r="I13" s="107">
        <v>3.4542280000000001</v>
      </c>
      <c r="J13" s="108">
        <v>11.406544</v>
      </c>
      <c r="K13" s="106">
        <v>18.323972999999999</v>
      </c>
      <c r="L13" s="106">
        <v>22.412572999999998</v>
      </c>
      <c r="M13" s="106">
        <v>21.940491000000002</v>
      </c>
      <c r="N13" s="106">
        <v>24.698791</v>
      </c>
      <c r="O13" s="109">
        <v>17.409683000000001</v>
      </c>
    </row>
    <row r="14" spans="1:15" x14ac:dyDescent="0.3">
      <c r="A14" t="s">
        <v>81</v>
      </c>
      <c r="B14" s="30" t="s">
        <v>54</v>
      </c>
      <c r="C14" s="104">
        <v>15.51</v>
      </c>
      <c r="D14" s="105">
        <v>0.44929400000000003</v>
      </c>
      <c r="E14" s="106">
        <v>0.25856499999999999</v>
      </c>
      <c r="F14" s="106">
        <v>0.12878300000000001</v>
      </c>
      <c r="G14" s="106">
        <v>2.0214780000000001</v>
      </c>
      <c r="H14" s="106">
        <v>3.4</v>
      </c>
      <c r="I14" s="107">
        <v>5.8703070000000004</v>
      </c>
      <c r="J14" s="108">
        <v>7.0393369999999997</v>
      </c>
      <c r="K14" s="106">
        <v>18.514330999999999</v>
      </c>
      <c r="L14" s="106">
        <v>0</v>
      </c>
      <c r="M14" s="106">
        <v>0</v>
      </c>
      <c r="N14" s="106">
        <v>0</v>
      </c>
      <c r="O14" s="109">
        <v>0</v>
      </c>
    </row>
    <row r="15" spans="1:15" x14ac:dyDescent="0.3">
      <c r="A15" t="s">
        <v>81</v>
      </c>
      <c r="B15" s="31" t="s">
        <v>55</v>
      </c>
      <c r="C15" s="110">
        <v>247.3168</v>
      </c>
      <c r="D15" s="105">
        <v>0.62569799999999998</v>
      </c>
      <c r="E15" s="106">
        <v>0.47814299999999998</v>
      </c>
      <c r="F15" s="106">
        <v>0.41017999999999999</v>
      </c>
      <c r="G15" s="106">
        <v>1.3438349999999999</v>
      </c>
      <c r="H15" s="106">
        <v>2.5831529999999998</v>
      </c>
      <c r="I15" s="107">
        <v>0.11813</v>
      </c>
      <c r="J15" s="108">
        <v>1.7969459999999999</v>
      </c>
      <c r="K15" s="106">
        <v>15.568390000000001</v>
      </c>
      <c r="L15" s="106">
        <v>20.791474000000001</v>
      </c>
      <c r="M15" s="106">
        <v>14.784435999999999</v>
      </c>
      <c r="N15" s="106">
        <v>18.380593000000001</v>
      </c>
      <c r="O15" s="109">
        <v>14.672825</v>
      </c>
    </row>
    <row r="16" spans="1:15" x14ac:dyDescent="0.3">
      <c r="A16" t="s">
        <v>81</v>
      </c>
      <c r="B16" s="30" t="s">
        <v>56</v>
      </c>
      <c r="C16" s="104">
        <v>20.81</v>
      </c>
      <c r="D16" s="105">
        <v>0.57333999999999996</v>
      </c>
      <c r="E16" s="106">
        <v>0.430622</v>
      </c>
      <c r="F16" s="106">
        <v>0.76299499999999998</v>
      </c>
      <c r="G16" s="106">
        <v>1.6075649999999999</v>
      </c>
      <c r="H16" s="106">
        <v>2.714709</v>
      </c>
      <c r="I16" s="107">
        <v>6.827515</v>
      </c>
      <c r="J16" s="108">
        <v>9.6417280000000005</v>
      </c>
      <c r="K16" s="106">
        <v>17.033555</v>
      </c>
      <c r="L16" s="106">
        <v>20.983422000000001</v>
      </c>
      <c r="M16" s="106">
        <v>18.342072999999999</v>
      </c>
      <c r="N16" s="106">
        <v>0</v>
      </c>
      <c r="O16" s="109">
        <v>0</v>
      </c>
    </row>
    <row r="17" spans="1:15" x14ac:dyDescent="0.3">
      <c r="A17" t="s">
        <v>81</v>
      </c>
      <c r="B17" s="30" t="s">
        <v>57</v>
      </c>
      <c r="C17" s="104">
        <v>19.98</v>
      </c>
      <c r="D17" s="105">
        <v>0.59701499999999996</v>
      </c>
      <c r="E17" s="106">
        <v>0.19980000000000001</v>
      </c>
      <c r="F17" s="106">
        <v>0.59701499999999996</v>
      </c>
      <c r="G17" s="106">
        <v>2.6790060000000002</v>
      </c>
      <c r="H17" s="106">
        <v>0.40200999999999998</v>
      </c>
      <c r="I17" s="107">
        <v>0.89285700000000001</v>
      </c>
      <c r="J17" s="108">
        <v>0.96008099999999996</v>
      </c>
      <c r="K17" s="106">
        <v>17.942809</v>
      </c>
      <c r="L17" s="106">
        <v>23.405135999999999</v>
      </c>
      <c r="M17" s="106">
        <v>0</v>
      </c>
      <c r="N17" s="106">
        <v>0</v>
      </c>
      <c r="O17" s="109">
        <v>0</v>
      </c>
    </row>
    <row r="18" spans="1:15" x14ac:dyDescent="0.3">
      <c r="A18" t="s">
        <v>81</v>
      </c>
      <c r="B18" s="30" t="s">
        <v>58</v>
      </c>
      <c r="C18" s="104">
        <v>19.1797</v>
      </c>
      <c r="D18" s="105">
        <v>0.16916300000000001</v>
      </c>
      <c r="E18" s="106">
        <v>0.62115399999999998</v>
      </c>
      <c r="F18" s="106">
        <v>0.76494300000000004</v>
      </c>
      <c r="G18" s="106">
        <v>0.38123699999999999</v>
      </c>
      <c r="H18" s="106">
        <v>4.9625399999999997</v>
      </c>
      <c r="I18" s="107">
        <v>2.1419250000000001</v>
      </c>
      <c r="J18" s="108">
        <v>3.888007</v>
      </c>
      <c r="K18" s="106">
        <v>15.962785999999999</v>
      </c>
      <c r="L18" s="106">
        <v>0</v>
      </c>
      <c r="M18" s="106">
        <v>0</v>
      </c>
      <c r="N18" s="106">
        <v>0</v>
      </c>
      <c r="O18" s="109">
        <v>0</v>
      </c>
    </row>
    <row r="19" spans="1:15" x14ac:dyDescent="0.3">
      <c r="A19" t="s">
        <v>81</v>
      </c>
      <c r="B19" s="31" t="s">
        <v>59</v>
      </c>
      <c r="C19" s="110">
        <v>110.9179</v>
      </c>
      <c r="D19" s="111">
        <v>0.44715300000000002</v>
      </c>
      <c r="E19" s="112">
        <v>2.0281E-2</v>
      </c>
      <c r="F19" s="112">
        <v>3.5149E-2</v>
      </c>
      <c r="G19" s="112">
        <v>2.068762</v>
      </c>
      <c r="H19" s="112">
        <v>0.62670599999999999</v>
      </c>
      <c r="I19" s="113">
        <v>1.1535280000000001</v>
      </c>
      <c r="J19" s="114">
        <v>5.4826550000000003</v>
      </c>
      <c r="K19" s="112">
        <v>13.687697999999999</v>
      </c>
      <c r="L19" s="112">
        <v>22.072873000000001</v>
      </c>
      <c r="M19" s="112">
        <v>19.037191</v>
      </c>
      <c r="N19" s="112">
        <v>21.722422999999999</v>
      </c>
      <c r="O19" s="115">
        <v>18.120491000000001</v>
      </c>
    </row>
    <row r="20" spans="1:15" x14ac:dyDescent="0.3">
      <c r="A20" t="s">
        <v>81</v>
      </c>
      <c r="B20" s="31" t="s">
        <v>60</v>
      </c>
      <c r="C20" s="110">
        <v>98.106999999999999</v>
      </c>
      <c r="D20" s="111">
        <v>0.355485</v>
      </c>
      <c r="E20" s="112">
        <v>0.38164799999999999</v>
      </c>
      <c r="F20" s="112">
        <v>0.19404199999999999</v>
      </c>
      <c r="G20" s="112">
        <v>1.173543</v>
      </c>
      <c r="H20" s="112">
        <v>4.0271869999999996</v>
      </c>
      <c r="I20" s="113">
        <v>0.83975699999999998</v>
      </c>
      <c r="J20" s="114">
        <v>9.0295839999999998</v>
      </c>
      <c r="K20" s="112">
        <v>14.460578</v>
      </c>
      <c r="L20" s="112">
        <v>17.763300999999998</v>
      </c>
      <c r="M20" s="112">
        <v>15.03693</v>
      </c>
      <c r="N20" s="112">
        <v>17.140395000000002</v>
      </c>
      <c r="O20" s="115">
        <v>15.51562</v>
      </c>
    </row>
    <row r="21" spans="1:15" x14ac:dyDescent="0.3">
      <c r="A21" t="s">
        <v>81</v>
      </c>
      <c r="B21" s="30" t="s">
        <v>61</v>
      </c>
      <c r="C21" s="104">
        <v>112.7881</v>
      </c>
      <c r="D21" s="105">
        <v>0.37196600000000002</v>
      </c>
      <c r="E21" s="106">
        <v>0.53526399999999996</v>
      </c>
      <c r="F21" s="106">
        <v>0.80311399999999999</v>
      </c>
      <c r="G21" s="106">
        <v>1.8971169999999999</v>
      </c>
      <c r="H21" s="106">
        <v>3.4402080000000002</v>
      </c>
      <c r="I21" s="107">
        <v>6.2318930000000003</v>
      </c>
      <c r="J21" s="108">
        <v>2.6683849999999998</v>
      </c>
      <c r="K21" s="106">
        <v>11.917695</v>
      </c>
      <c r="L21" s="106">
        <v>17.337337999999999</v>
      </c>
      <c r="M21" s="106">
        <v>12.557694</v>
      </c>
      <c r="N21" s="106">
        <v>14.045540000000001</v>
      </c>
      <c r="O21" s="109">
        <v>11.45106</v>
      </c>
    </row>
    <row r="22" spans="1:15" x14ac:dyDescent="0.3">
      <c r="A22" t="s">
        <v>81</v>
      </c>
      <c r="B22" s="30" t="s">
        <v>62</v>
      </c>
      <c r="C22" s="104">
        <v>17.9438</v>
      </c>
      <c r="D22" s="105">
        <v>0.44054300000000002</v>
      </c>
      <c r="E22" s="106">
        <v>0.124432</v>
      </c>
      <c r="F22" s="106">
        <v>0.20077999999999999</v>
      </c>
      <c r="G22" s="106">
        <v>0.77417400000000003</v>
      </c>
      <c r="H22" s="106">
        <v>4.1851010000000004</v>
      </c>
      <c r="I22" s="107">
        <v>1.4909330000000001</v>
      </c>
      <c r="J22" s="108">
        <v>7.9099139999999997</v>
      </c>
      <c r="K22" s="106">
        <v>13.157762</v>
      </c>
      <c r="L22" s="106">
        <v>19.288453000000001</v>
      </c>
      <c r="M22" s="106">
        <v>15.530730999999999</v>
      </c>
      <c r="N22" s="106">
        <v>0</v>
      </c>
      <c r="O22" s="109">
        <v>0</v>
      </c>
    </row>
    <row r="23" spans="1:15" x14ac:dyDescent="0.3">
      <c r="A23" t="s">
        <v>81</v>
      </c>
      <c r="B23" s="30" t="s">
        <v>63</v>
      </c>
      <c r="C23" s="104">
        <v>17.132000000000001</v>
      </c>
      <c r="D23" s="105">
        <v>0.30840800000000002</v>
      </c>
      <c r="E23" s="106">
        <v>0.34557500000000002</v>
      </c>
      <c r="F23" s="106">
        <v>0.52810699999999999</v>
      </c>
      <c r="G23" s="106">
        <v>0.46479199999999998</v>
      </c>
      <c r="H23" s="106">
        <v>6.212027</v>
      </c>
      <c r="I23" s="107">
        <v>4.6229009999999997</v>
      </c>
      <c r="J23" s="108">
        <v>9.0099260000000001</v>
      </c>
      <c r="K23" s="106">
        <v>14.999002000000001</v>
      </c>
      <c r="L23" s="106">
        <v>0</v>
      </c>
      <c r="M23" s="106">
        <v>0</v>
      </c>
      <c r="N23" s="106">
        <v>0</v>
      </c>
      <c r="O23" s="109">
        <v>0</v>
      </c>
    </row>
    <row r="24" spans="1:15" x14ac:dyDescent="0.3">
      <c r="A24" t="s">
        <v>81</v>
      </c>
      <c r="B24" s="30" t="s">
        <v>64</v>
      </c>
      <c r="C24" s="104">
        <v>67.279200000000003</v>
      </c>
      <c r="D24" s="105">
        <v>0.75935900000000001</v>
      </c>
      <c r="E24" s="106">
        <v>0.99258800000000003</v>
      </c>
      <c r="F24" s="106">
        <v>0.93091900000000005</v>
      </c>
      <c r="G24" s="106">
        <v>3.1985990000000002</v>
      </c>
      <c r="H24" s="106">
        <v>0.53210299999999999</v>
      </c>
      <c r="I24" s="107">
        <v>3.1933060000000002</v>
      </c>
      <c r="J24" s="108">
        <v>3.6436259999999998</v>
      </c>
      <c r="K24" s="106">
        <v>18.495609999999999</v>
      </c>
      <c r="L24" s="106">
        <v>23.153846000000001</v>
      </c>
      <c r="M24" s="106">
        <v>16.699245999999999</v>
      </c>
      <c r="N24" s="106">
        <v>16.529947</v>
      </c>
      <c r="O24" s="109">
        <v>14.309685</v>
      </c>
    </row>
    <row r="25" spans="1:15" x14ac:dyDescent="0.3">
      <c r="A25" t="s">
        <v>81</v>
      </c>
      <c r="B25" s="30" t="s">
        <v>65</v>
      </c>
      <c r="C25" s="104">
        <v>27.188199999999998</v>
      </c>
      <c r="D25" s="105">
        <v>0.62065899999999996</v>
      </c>
      <c r="E25" s="106">
        <v>8.6509000000000003E-2</v>
      </c>
      <c r="F25" s="106">
        <v>0.34990100000000002</v>
      </c>
      <c r="G25" s="106">
        <v>0.49517800000000001</v>
      </c>
      <c r="H25" s="106">
        <v>4.7743099999999998</v>
      </c>
      <c r="I25" s="107">
        <v>4.2476339999999997</v>
      </c>
      <c r="J25" s="108">
        <v>6.115615</v>
      </c>
      <c r="K25" s="106">
        <v>10.536867000000001</v>
      </c>
      <c r="L25" s="106">
        <v>15.290851999999999</v>
      </c>
      <c r="M25" s="106">
        <v>12.477574000000001</v>
      </c>
      <c r="N25" s="106">
        <v>16.505466999999999</v>
      </c>
      <c r="O25" s="109">
        <v>0</v>
      </c>
    </row>
    <row r="26" spans="1:15" x14ac:dyDescent="0.3">
      <c r="A26" t="s">
        <v>81</v>
      </c>
      <c r="B26" s="30" t="s">
        <v>66</v>
      </c>
      <c r="C26" s="104">
        <v>17.9498</v>
      </c>
      <c r="D26" s="105">
        <v>0.36081400000000002</v>
      </c>
      <c r="E26" s="106">
        <v>0.13611999999999999</v>
      </c>
      <c r="F26" s="106">
        <v>4.1243000000000002E-2</v>
      </c>
      <c r="G26" s="106">
        <v>0.72836900000000004</v>
      </c>
      <c r="H26" s="106">
        <v>2.8712580000000001</v>
      </c>
      <c r="I26" s="107">
        <v>1.3374429999999999</v>
      </c>
      <c r="J26" s="108">
        <v>3.468988</v>
      </c>
      <c r="K26" s="106">
        <v>10.831631</v>
      </c>
      <c r="L26" s="106">
        <v>18.233713999999999</v>
      </c>
      <c r="M26" s="106">
        <v>14.002742</v>
      </c>
      <c r="N26" s="106">
        <v>0</v>
      </c>
      <c r="O26" s="109">
        <v>0</v>
      </c>
    </row>
    <row r="27" spans="1:15" x14ac:dyDescent="0.3">
      <c r="A27" t="s">
        <v>81</v>
      </c>
      <c r="B27" s="30" t="s">
        <v>67</v>
      </c>
      <c r="C27" s="104">
        <v>13.8</v>
      </c>
      <c r="D27" s="105">
        <v>0.43290000000000001</v>
      </c>
      <c r="E27" s="106">
        <v>7.2411000000000003E-2</v>
      </c>
      <c r="F27" s="106">
        <v>0.43290000000000001</v>
      </c>
      <c r="G27" s="106">
        <v>0.71942399999999995</v>
      </c>
      <c r="H27" s="106">
        <v>0.50983199999999995</v>
      </c>
      <c r="I27" s="107">
        <v>7.2515999999999997E-2</v>
      </c>
      <c r="J27" s="108">
        <v>1.1461319999999999</v>
      </c>
      <c r="K27" s="106">
        <v>6.9217389999999996</v>
      </c>
      <c r="L27" s="106">
        <v>0</v>
      </c>
      <c r="M27" s="106">
        <v>0</v>
      </c>
      <c r="N27" s="106">
        <v>0</v>
      </c>
      <c r="O27" s="109">
        <v>0</v>
      </c>
    </row>
    <row r="28" spans="1:15" x14ac:dyDescent="0.3">
      <c r="A28" t="s">
        <v>81</v>
      </c>
      <c r="B28" s="32" t="s">
        <v>68</v>
      </c>
      <c r="C28" s="116">
        <v>95.048199999999994</v>
      </c>
      <c r="D28" s="105">
        <v>0.31035000000000001</v>
      </c>
      <c r="E28" s="106">
        <v>0.669377</v>
      </c>
      <c r="F28" s="106">
        <v>0.30657099999999998</v>
      </c>
      <c r="G28" s="106">
        <v>5.5581999999999999E-2</v>
      </c>
      <c r="H28" s="106">
        <v>2.633426</v>
      </c>
      <c r="I28" s="107">
        <v>2.5650930000000001</v>
      </c>
      <c r="J28" s="108">
        <v>8.5600140000000007</v>
      </c>
      <c r="K28" s="106">
        <v>16.650970000000001</v>
      </c>
      <c r="L28" s="106">
        <v>23.09215</v>
      </c>
      <c r="M28" s="106">
        <v>15.487723000000001</v>
      </c>
      <c r="N28" s="106">
        <v>21.079587</v>
      </c>
      <c r="O28" s="109">
        <v>18.349796999999999</v>
      </c>
    </row>
    <row r="29" spans="1:15" x14ac:dyDescent="0.3">
      <c r="A29" t="s">
        <v>81</v>
      </c>
      <c r="B29" s="30" t="s">
        <v>69</v>
      </c>
      <c r="C29" s="104">
        <v>43.24</v>
      </c>
      <c r="D29" s="105">
        <v>0.41455599999999998</v>
      </c>
      <c r="E29" s="106">
        <v>0.18535699999999999</v>
      </c>
      <c r="F29" s="106">
        <v>0.27675300000000003</v>
      </c>
      <c r="G29" s="106">
        <v>1.5258480000000001</v>
      </c>
      <c r="H29" s="106">
        <v>2.8788960000000001</v>
      </c>
      <c r="I29" s="107">
        <v>1.217228</v>
      </c>
      <c r="J29" s="108">
        <v>5.5921859999999999</v>
      </c>
      <c r="K29" s="106">
        <v>11.911314000000001</v>
      </c>
      <c r="L29" s="106">
        <v>14.984207</v>
      </c>
      <c r="M29" s="106">
        <v>10.237322000000001</v>
      </c>
      <c r="N29" s="106">
        <v>16.466753000000001</v>
      </c>
      <c r="O29" s="109">
        <v>15.673495000000001</v>
      </c>
    </row>
    <row r="30" spans="1:15" x14ac:dyDescent="0.3">
      <c r="A30" t="s">
        <v>81</v>
      </c>
      <c r="B30" s="30" t="s">
        <v>70</v>
      </c>
      <c r="C30" s="104">
        <v>110.4585</v>
      </c>
      <c r="D30" s="105">
        <v>0.241227</v>
      </c>
      <c r="E30" s="106">
        <v>0.25969300000000001</v>
      </c>
      <c r="F30" s="106">
        <v>0.39065100000000003</v>
      </c>
      <c r="G30" s="106">
        <v>1.185592</v>
      </c>
      <c r="H30" s="106">
        <v>3.250095</v>
      </c>
      <c r="I30" s="107">
        <v>1.0613140000000001</v>
      </c>
      <c r="J30" s="108">
        <v>4.8912899999999997</v>
      </c>
      <c r="K30" s="106">
        <v>11.955266999999999</v>
      </c>
      <c r="L30" s="106">
        <v>17.830334000000001</v>
      </c>
      <c r="M30" s="106">
        <v>16.542717</v>
      </c>
      <c r="N30" s="106">
        <v>23.700723</v>
      </c>
      <c r="O30" s="109">
        <v>19.726109999999998</v>
      </c>
    </row>
    <row r="31" spans="1:15" x14ac:dyDescent="0.3">
      <c r="A31" t="s">
        <v>81</v>
      </c>
      <c r="B31" s="30" t="s">
        <v>71</v>
      </c>
      <c r="C31" s="104">
        <v>10.44</v>
      </c>
      <c r="D31" s="105">
        <v>0.76045600000000002</v>
      </c>
      <c r="E31" s="106">
        <v>0.48123199999999999</v>
      </c>
      <c r="F31" s="106">
        <v>0.57803499999999997</v>
      </c>
      <c r="G31" s="106">
        <v>0.76045600000000002</v>
      </c>
      <c r="H31" s="106">
        <v>0.94876700000000003</v>
      </c>
      <c r="I31" s="107">
        <v>8.2601049999999994</v>
      </c>
      <c r="J31" s="108">
        <v>17.274168</v>
      </c>
      <c r="K31" s="106">
        <v>6.4094899999999999</v>
      </c>
      <c r="L31" s="106">
        <v>3.4855719999999999</v>
      </c>
      <c r="M31" s="106">
        <v>0</v>
      </c>
      <c r="N31" s="106">
        <v>0</v>
      </c>
      <c r="O31" s="109">
        <v>0</v>
      </c>
    </row>
    <row r="32" spans="1:15" x14ac:dyDescent="0.3">
      <c r="A32" t="s">
        <v>81</v>
      </c>
      <c r="B32" s="30" t="s">
        <v>72</v>
      </c>
      <c r="C32" s="104">
        <v>126.28230000000001</v>
      </c>
      <c r="D32" s="105">
        <v>0.49428899999999998</v>
      </c>
      <c r="E32" s="106">
        <v>0.23160500000000001</v>
      </c>
      <c r="F32" s="106">
        <v>3.7124999999999998E-2</v>
      </c>
      <c r="G32" s="106">
        <v>0.25118400000000002</v>
      </c>
      <c r="H32" s="106">
        <v>4.2550790000000003</v>
      </c>
      <c r="I32" s="107">
        <v>3.308208</v>
      </c>
      <c r="J32" s="108">
        <v>5.5838530000000004</v>
      </c>
      <c r="K32" s="106">
        <v>11.368224</v>
      </c>
      <c r="L32" s="106">
        <v>15.135439</v>
      </c>
      <c r="M32" s="106">
        <v>11.924066</v>
      </c>
      <c r="N32" s="106">
        <v>15.635887</v>
      </c>
      <c r="O32" s="109">
        <v>14.023842999999999</v>
      </c>
    </row>
    <row r="33" spans="1:15" x14ac:dyDescent="0.3">
      <c r="A33" t="s">
        <v>81</v>
      </c>
      <c r="B33" s="30" t="s">
        <v>73</v>
      </c>
      <c r="C33" s="104">
        <v>23.3048</v>
      </c>
      <c r="D33" s="105">
        <v>0.45745999999999998</v>
      </c>
      <c r="E33" s="106">
        <v>0.39027800000000001</v>
      </c>
      <c r="F33" s="106">
        <v>0.32761200000000001</v>
      </c>
      <c r="G33" s="106">
        <v>1.251266</v>
      </c>
      <c r="H33" s="106">
        <v>4.8207620000000002</v>
      </c>
      <c r="I33" s="107">
        <v>1.504837</v>
      </c>
      <c r="J33" s="108">
        <v>4.1538490000000001</v>
      </c>
      <c r="K33" s="106">
        <v>6.3560819999999998</v>
      </c>
      <c r="L33" s="106">
        <v>13.172713999999999</v>
      </c>
      <c r="M33" s="106">
        <v>11.336942000000001</v>
      </c>
      <c r="N33" s="106">
        <v>13.211074</v>
      </c>
      <c r="O33" s="109">
        <v>0</v>
      </c>
    </row>
    <row r="34" spans="1:15" x14ac:dyDescent="0.3">
      <c r="A34" t="s">
        <v>81</v>
      </c>
      <c r="B34" s="30" t="s">
        <v>74</v>
      </c>
      <c r="C34" s="104">
        <v>16.0288</v>
      </c>
      <c r="D34" s="105">
        <v>0.27933799999999998</v>
      </c>
      <c r="E34" s="106">
        <v>0.41283199999999998</v>
      </c>
      <c r="F34" s="106">
        <v>0.103046</v>
      </c>
      <c r="G34" s="106">
        <v>0.41130800000000001</v>
      </c>
      <c r="H34" s="106">
        <v>4.4697909999999998</v>
      </c>
      <c r="I34" s="107">
        <v>3.2916609999999999</v>
      </c>
      <c r="J34" s="108">
        <v>8.1266320000000007</v>
      </c>
      <c r="K34" s="106">
        <v>12.897129</v>
      </c>
      <c r="L34" s="106">
        <v>16.942138</v>
      </c>
      <c r="M34" s="106">
        <v>0</v>
      </c>
      <c r="N34" s="106">
        <v>0</v>
      </c>
      <c r="O34" s="109">
        <v>0</v>
      </c>
    </row>
    <row r="35" spans="1:15" x14ac:dyDescent="0.3">
      <c r="A35" t="s">
        <v>81</v>
      </c>
      <c r="B35" s="30" t="s">
        <v>75</v>
      </c>
      <c r="C35" s="104">
        <v>27.7636</v>
      </c>
      <c r="D35" s="105">
        <v>0.32347599999999999</v>
      </c>
      <c r="E35" s="106">
        <v>0.169212</v>
      </c>
      <c r="F35" s="106">
        <v>0.27442499999999997</v>
      </c>
      <c r="G35" s="106">
        <v>0.39821200000000001</v>
      </c>
      <c r="H35" s="106">
        <v>3.587405</v>
      </c>
      <c r="I35" s="107">
        <v>1.0905149999999999</v>
      </c>
      <c r="J35" s="108">
        <v>11.692836</v>
      </c>
      <c r="K35" s="106">
        <v>13.141641</v>
      </c>
      <c r="L35" s="106">
        <v>18.477405000000001</v>
      </c>
      <c r="M35" s="106">
        <v>13.353865000000001</v>
      </c>
      <c r="N35" s="106">
        <v>15.935786999999999</v>
      </c>
      <c r="O35" s="109">
        <v>0</v>
      </c>
    </row>
    <row r="36" spans="1:15" x14ac:dyDescent="0.3">
      <c r="A36" t="s">
        <v>81</v>
      </c>
      <c r="B36" s="30" t="s">
        <v>76</v>
      </c>
      <c r="C36" s="104">
        <v>234.15</v>
      </c>
      <c r="D36" s="105">
        <v>0.49296699999999999</v>
      </c>
      <c r="E36" s="106">
        <v>0.372942</v>
      </c>
      <c r="F36" s="106">
        <v>0.23009099999999999</v>
      </c>
      <c r="G36" s="106">
        <v>2.241984</v>
      </c>
      <c r="H36" s="106">
        <v>2.0128089999999998</v>
      </c>
      <c r="I36" s="107">
        <v>1.344063</v>
      </c>
      <c r="J36" s="108">
        <v>1.0647740000000001</v>
      </c>
      <c r="K36" s="106">
        <v>8.4394650000000002</v>
      </c>
      <c r="L36" s="106">
        <v>14.56091</v>
      </c>
      <c r="M36" s="106">
        <v>11.974905</v>
      </c>
      <c r="N36" s="106">
        <v>13.783944</v>
      </c>
      <c r="O36" s="109">
        <v>10.111893999999999</v>
      </c>
    </row>
    <row r="37" spans="1:15" x14ac:dyDescent="0.3">
      <c r="A37" t="s">
        <v>81</v>
      </c>
      <c r="B37" s="32" t="s">
        <v>77</v>
      </c>
      <c r="C37" s="116">
        <v>11.83</v>
      </c>
      <c r="D37" s="105">
        <v>0.420875</v>
      </c>
      <c r="E37" s="106">
        <v>0.42444799999999999</v>
      </c>
      <c r="F37" s="106">
        <v>0.33927099999999999</v>
      </c>
      <c r="G37" s="106">
        <v>2.0695359999999998</v>
      </c>
      <c r="H37" s="106">
        <v>3.3187769999999999</v>
      </c>
      <c r="I37" s="107">
        <v>0.33927099999999999</v>
      </c>
      <c r="J37" s="108">
        <v>2.793755</v>
      </c>
      <c r="K37" s="106">
        <v>0</v>
      </c>
      <c r="L37" s="106">
        <v>0</v>
      </c>
      <c r="M37" s="106">
        <v>0</v>
      </c>
      <c r="N37" s="106">
        <v>0</v>
      </c>
      <c r="O37" s="109">
        <v>0</v>
      </c>
    </row>
    <row r="38" spans="1:15" x14ac:dyDescent="0.3">
      <c r="A38" t="s">
        <v>81</v>
      </c>
      <c r="B38" s="30" t="s">
        <v>78</v>
      </c>
      <c r="C38" s="104">
        <v>58.08</v>
      </c>
      <c r="D38" s="105">
        <v>0.56497200000000003</v>
      </c>
      <c r="E38" s="106">
        <v>0.120669</v>
      </c>
      <c r="F38" s="106">
        <v>0.224331</v>
      </c>
      <c r="G38" s="106">
        <v>0.65001699999999996</v>
      </c>
      <c r="H38" s="106">
        <v>3.125</v>
      </c>
      <c r="I38" s="107">
        <v>1.008696</v>
      </c>
      <c r="J38" s="108">
        <v>3.7884199999999999</v>
      </c>
      <c r="K38" s="106">
        <v>11.440706</v>
      </c>
      <c r="L38" s="106">
        <v>16.731911</v>
      </c>
      <c r="M38" s="106">
        <v>12.788102</v>
      </c>
      <c r="N38" s="106">
        <v>17.333003999999999</v>
      </c>
      <c r="O38" s="109">
        <v>14.380874</v>
      </c>
    </row>
    <row r="39" spans="1:15" x14ac:dyDescent="0.3">
      <c r="A39" t="s">
        <v>81</v>
      </c>
      <c r="B39" s="30" t="s">
        <v>79</v>
      </c>
      <c r="C39" s="104">
        <v>345.06670000000003</v>
      </c>
      <c r="D39" s="105">
        <v>0.65294399999999997</v>
      </c>
      <c r="E39" s="106">
        <v>0.46251500000000001</v>
      </c>
      <c r="F39" s="106">
        <v>1.2219770000000001</v>
      </c>
      <c r="G39" s="106">
        <v>2.3097720000000002</v>
      </c>
      <c r="H39" s="106">
        <v>0.30641299999999999</v>
      </c>
      <c r="I39" s="107">
        <v>2.1933370000000001</v>
      </c>
      <c r="J39" s="108">
        <v>1.712747</v>
      </c>
      <c r="K39" s="106">
        <v>8.9515480000000007</v>
      </c>
      <c r="L39" s="106">
        <v>12.341626</v>
      </c>
      <c r="M39" s="106">
        <v>6.2855369999999997</v>
      </c>
      <c r="N39" s="106">
        <v>11.239089</v>
      </c>
      <c r="O39" s="109">
        <v>13.180229000000001</v>
      </c>
    </row>
    <row r="40" spans="1:15" x14ac:dyDescent="0.3">
      <c r="A40" t="s">
        <v>81</v>
      </c>
      <c r="B40" s="30" t="s">
        <v>80</v>
      </c>
      <c r="C40" s="104">
        <v>18.631</v>
      </c>
      <c r="D40" s="105">
        <v>0.47542699999999999</v>
      </c>
      <c r="E40" s="106">
        <v>4.8283E-2</v>
      </c>
      <c r="F40" s="106">
        <v>0.390291</v>
      </c>
      <c r="G40" s="106">
        <v>1.7766770000000001</v>
      </c>
      <c r="H40" s="106">
        <v>4.241034</v>
      </c>
      <c r="I40" s="107">
        <v>2.2726030000000002</v>
      </c>
      <c r="J40" s="108">
        <v>5.9542770000000003</v>
      </c>
      <c r="K40" s="106">
        <v>15.862306999999999</v>
      </c>
      <c r="L40" s="106">
        <v>21.597726000000002</v>
      </c>
      <c r="M40" s="106">
        <v>0</v>
      </c>
      <c r="N40" s="106">
        <v>0</v>
      </c>
      <c r="O40" s="109">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CEA1D-F9E9-4AD2-AC38-F6A723BB18B4}">
  <dimension ref="A1:O33"/>
  <sheetViews>
    <sheetView workbookViewId="0">
      <selection sqref="A1:O33"/>
    </sheetView>
  </sheetViews>
  <sheetFormatPr defaultRowHeight="14.4" x14ac:dyDescent="0.3"/>
  <cols>
    <col min="1" max="1" width="13.33203125" customWidth="1"/>
    <col min="2" max="2" width="54.5546875" customWidth="1"/>
    <col min="3" max="3" width="11.88671875" customWidth="1"/>
    <col min="4" max="5" width="9.109375" customWidth="1"/>
    <col min="6" max="6" width="10" customWidth="1"/>
    <col min="7" max="7" width="9.21875" customWidth="1"/>
    <col min="8" max="9" width="10.5546875" customWidth="1"/>
    <col min="10" max="10" width="9.109375" customWidth="1"/>
    <col min="11" max="14" width="9.21875" customWidth="1"/>
    <col min="15" max="15" width="9.88671875" customWidth="1"/>
  </cols>
  <sheetData>
    <row r="1" spans="1:15" ht="15" thickBot="1" x14ac:dyDescent="0.35">
      <c r="A1" s="33" t="s">
        <v>0</v>
      </c>
      <c r="B1" s="44" t="s">
        <v>1</v>
      </c>
      <c r="C1" s="45" t="s">
        <v>2</v>
      </c>
      <c r="D1" s="46" t="s">
        <v>3</v>
      </c>
      <c r="E1" s="47" t="s">
        <v>4</v>
      </c>
      <c r="F1" s="47" t="s">
        <v>5</v>
      </c>
      <c r="G1" s="47" t="s">
        <v>6</v>
      </c>
      <c r="H1" s="47" t="s">
        <v>7</v>
      </c>
      <c r="I1" s="48" t="s">
        <v>8</v>
      </c>
      <c r="J1" s="49" t="s">
        <v>9</v>
      </c>
      <c r="K1" s="50" t="s">
        <v>10</v>
      </c>
      <c r="L1" s="50" t="s">
        <v>11</v>
      </c>
      <c r="M1" s="50" t="s">
        <v>12</v>
      </c>
      <c r="N1" s="50" t="s">
        <v>13</v>
      </c>
      <c r="O1" s="50" t="s">
        <v>14</v>
      </c>
    </row>
    <row r="2" spans="1:15" x14ac:dyDescent="0.3">
      <c r="A2" t="s">
        <v>114</v>
      </c>
      <c r="B2" s="17" t="s">
        <v>82</v>
      </c>
      <c r="C2" s="40">
        <v>605.03</v>
      </c>
      <c r="D2" s="86">
        <v>0.34588999999999998</v>
      </c>
      <c r="E2" s="87">
        <v>0.23857300000000001</v>
      </c>
      <c r="F2" s="87">
        <v>0.21440500000000001</v>
      </c>
      <c r="G2" s="87">
        <v>0.51957399999999998</v>
      </c>
      <c r="H2" s="87">
        <v>5.1202310000000004</v>
      </c>
      <c r="I2" s="87">
        <v>2.1975609999999999</v>
      </c>
      <c r="J2" s="88">
        <v>9.256551</v>
      </c>
      <c r="K2" s="89">
        <v>13.867754</v>
      </c>
      <c r="L2" s="89">
        <v>16.663599999999999</v>
      </c>
      <c r="M2" s="89">
        <v>13.929805</v>
      </c>
      <c r="N2" s="89">
        <v>16.673783</v>
      </c>
      <c r="O2" s="90">
        <v>15.138806000000001</v>
      </c>
    </row>
    <row r="3" spans="1:15" x14ac:dyDescent="0.3">
      <c r="A3" t="s">
        <v>114</v>
      </c>
      <c r="B3" s="20" t="s">
        <v>83</v>
      </c>
      <c r="C3" s="41">
        <v>71.510000000000005</v>
      </c>
      <c r="D3" s="91">
        <v>0.40389999999999998</v>
      </c>
      <c r="E3" s="92">
        <v>0.224247</v>
      </c>
      <c r="F3" s="92">
        <v>5.5967999999999997E-2</v>
      </c>
      <c r="G3" s="92">
        <v>0.85955899999999996</v>
      </c>
      <c r="H3" s="92">
        <v>3.6677300000000002</v>
      </c>
      <c r="I3" s="92">
        <v>1.217268</v>
      </c>
      <c r="J3" s="91">
        <v>6.6676609999999998</v>
      </c>
      <c r="K3" s="92">
        <v>11.773391999999999</v>
      </c>
      <c r="L3" s="92">
        <v>13.526063000000001</v>
      </c>
      <c r="M3" s="92">
        <v>9.1183840000000007</v>
      </c>
      <c r="N3" s="92">
        <v>11.536460999999999</v>
      </c>
      <c r="O3" s="93">
        <v>13.921056999999999</v>
      </c>
    </row>
    <row r="4" spans="1:15" x14ac:dyDescent="0.3">
      <c r="A4" t="s">
        <v>114</v>
      </c>
      <c r="B4" s="20" t="s">
        <v>84</v>
      </c>
      <c r="C4" s="41">
        <v>10.541</v>
      </c>
      <c r="D4" s="91">
        <v>0.47209899999999999</v>
      </c>
      <c r="E4" s="92">
        <v>0.104463</v>
      </c>
      <c r="F4" s="92">
        <v>1.8977000000000001E-2</v>
      </c>
      <c r="G4" s="92">
        <v>0.79058799999999996</v>
      </c>
      <c r="H4" s="92">
        <v>6.0676189999999997</v>
      </c>
      <c r="I4" s="92">
        <v>2.8490579999999999</v>
      </c>
      <c r="J4" s="91">
        <v>9.0523480000000003</v>
      </c>
      <c r="K4" s="92">
        <v>0</v>
      </c>
      <c r="L4" s="92">
        <v>0</v>
      </c>
      <c r="M4" s="92">
        <v>0</v>
      </c>
      <c r="N4" s="92">
        <v>0</v>
      </c>
      <c r="O4" s="93">
        <v>0</v>
      </c>
    </row>
    <row r="5" spans="1:15" x14ac:dyDescent="0.3">
      <c r="A5" t="s">
        <v>114</v>
      </c>
      <c r="B5" s="20" t="s">
        <v>85</v>
      </c>
      <c r="C5" s="41">
        <v>92.366</v>
      </c>
      <c r="D5" s="91">
        <v>0.31944099999999997</v>
      </c>
      <c r="E5" s="92">
        <v>0.29535</v>
      </c>
      <c r="F5" s="92">
        <v>0.13838700000000001</v>
      </c>
      <c r="G5" s="92">
        <v>0.78733399999999998</v>
      </c>
      <c r="H5" s="92">
        <v>5.5888980000000004</v>
      </c>
      <c r="I5" s="92">
        <v>3.916296</v>
      </c>
      <c r="J5" s="91">
        <v>8.9118949999999995</v>
      </c>
      <c r="K5" s="92">
        <v>15.054023000000001</v>
      </c>
      <c r="L5" s="92">
        <v>19.157381000000001</v>
      </c>
      <c r="M5" s="92">
        <v>14.161123</v>
      </c>
      <c r="N5" s="92">
        <v>16.720780000000001</v>
      </c>
      <c r="O5" s="93">
        <v>14.882389</v>
      </c>
    </row>
    <row r="6" spans="1:15" x14ac:dyDescent="0.3">
      <c r="A6" t="s">
        <v>114</v>
      </c>
      <c r="B6" s="20" t="s">
        <v>86</v>
      </c>
      <c r="C6" s="41">
        <v>17.57</v>
      </c>
      <c r="D6" s="91">
        <v>0.34032899999999999</v>
      </c>
      <c r="E6" s="92">
        <v>0.51487400000000005</v>
      </c>
      <c r="F6" s="92">
        <v>1.0350779999999999</v>
      </c>
      <c r="G6" s="92">
        <v>0.11396000000000001</v>
      </c>
      <c r="H6" s="92">
        <v>5.1466190000000003</v>
      </c>
      <c r="I6" s="92">
        <v>3.7190080000000001</v>
      </c>
      <c r="J6" s="91">
        <v>6.0350029999999997</v>
      </c>
      <c r="K6" s="92">
        <v>11.305320999999999</v>
      </c>
      <c r="L6" s="92">
        <v>17.354085999999999</v>
      </c>
      <c r="M6" s="92">
        <v>12.780881000000001</v>
      </c>
      <c r="N6" s="92">
        <v>0</v>
      </c>
      <c r="O6" s="93">
        <v>0</v>
      </c>
    </row>
    <row r="7" spans="1:15" x14ac:dyDescent="0.3">
      <c r="A7" t="s">
        <v>114</v>
      </c>
      <c r="B7" s="20" t="s">
        <v>87</v>
      </c>
      <c r="C7" s="41">
        <v>261.613</v>
      </c>
      <c r="D7" s="91">
        <v>0.313448</v>
      </c>
      <c r="E7" s="92">
        <v>0.14416100000000001</v>
      </c>
      <c r="F7" s="92">
        <v>8.2939999999999993E-3</v>
      </c>
      <c r="G7" s="92">
        <v>0.71906800000000004</v>
      </c>
      <c r="H7" s="92">
        <v>4.7268869999999996</v>
      </c>
      <c r="I7" s="92">
        <v>1.460477</v>
      </c>
      <c r="J7" s="91">
        <v>4.9072579999999997</v>
      </c>
      <c r="K7" s="92">
        <v>13.948217</v>
      </c>
      <c r="L7" s="92">
        <v>17.446860999999998</v>
      </c>
      <c r="M7" s="92">
        <v>14.789173</v>
      </c>
      <c r="N7" s="92">
        <v>16.484722999999999</v>
      </c>
      <c r="O7" s="93">
        <v>14.470245999999999</v>
      </c>
    </row>
    <row r="8" spans="1:15" x14ac:dyDescent="0.3">
      <c r="A8" t="s">
        <v>114</v>
      </c>
      <c r="B8" s="28" t="s">
        <v>88</v>
      </c>
      <c r="C8" s="42">
        <v>75.150000000000006</v>
      </c>
      <c r="D8" s="91">
        <v>0.331565</v>
      </c>
      <c r="E8" s="92">
        <v>0.253469</v>
      </c>
      <c r="F8" s="92">
        <v>0.119617</v>
      </c>
      <c r="G8" s="92">
        <v>0.77898100000000003</v>
      </c>
      <c r="H8" s="92">
        <v>4.5056320000000003</v>
      </c>
      <c r="I8" s="92">
        <v>1.4717800000000001</v>
      </c>
      <c r="J8" s="91">
        <v>7.9586269999999999</v>
      </c>
      <c r="K8" s="92">
        <v>14.480975000000001</v>
      </c>
      <c r="L8" s="92">
        <v>17.08023</v>
      </c>
      <c r="M8" s="92">
        <v>13.659765999999999</v>
      </c>
      <c r="N8" s="92">
        <v>16.067247999999999</v>
      </c>
      <c r="O8" s="93">
        <v>15.87262</v>
      </c>
    </row>
    <row r="9" spans="1:15" x14ac:dyDescent="0.3">
      <c r="A9" t="s">
        <v>114</v>
      </c>
      <c r="B9" s="24" t="s">
        <v>89</v>
      </c>
      <c r="C9" s="43">
        <v>533.048</v>
      </c>
      <c r="D9" s="94">
        <v>0.21079300000000001</v>
      </c>
      <c r="E9" s="95">
        <v>0.20923600000000001</v>
      </c>
      <c r="F9" s="95">
        <v>0.437996</v>
      </c>
      <c r="G9" s="95">
        <v>0.34343800000000002</v>
      </c>
      <c r="H9" s="95">
        <v>4.4068250000000004</v>
      </c>
      <c r="I9" s="95">
        <v>1.5184500000000001</v>
      </c>
      <c r="J9" s="94">
        <v>8.9819180000000003</v>
      </c>
      <c r="K9" s="95">
        <v>15.990931</v>
      </c>
      <c r="L9" s="95">
        <v>19.256699000000001</v>
      </c>
      <c r="M9" s="95">
        <v>15.354666</v>
      </c>
      <c r="N9" s="95">
        <v>16.237293000000001</v>
      </c>
      <c r="O9" s="96">
        <v>13.219619</v>
      </c>
    </row>
    <row r="10" spans="1:15" x14ac:dyDescent="0.3">
      <c r="A10" t="s">
        <v>114</v>
      </c>
      <c r="B10" s="20" t="s">
        <v>90</v>
      </c>
      <c r="C10" s="41">
        <v>100.03</v>
      </c>
      <c r="D10" s="91">
        <v>0.328816</v>
      </c>
      <c r="E10" s="92">
        <v>0.140154</v>
      </c>
      <c r="F10" s="92">
        <v>0.16966100000000001</v>
      </c>
      <c r="G10" s="92">
        <v>0.75404300000000002</v>
      </c>
      <c r="H10" s="92">
        <v>4.8752360000000001</v>
      </c>
      <c r="I10" s="92">
        <v>2.1861269999999999</v>
      </c>
      <c r="J10" s="91">
        <v>8.5512750000000004</v>
      </c>
      <c r="K10" s="92">
        <v>13.148108000000001</v>
      </c>
      <c r="L10" s="92">
        <v>17.332215000000001</v>
      </c>
      <c r="M10" s="92">
        <v>14.572927999999999</v>
      </c>
      <c r="N10" s="92">
        <v>16.513594000000001</v>
      </c>
      <c r="O10" s="93">
        <v>14.917144</v>
      </c>
    </row>
    <row r="11" spans="1:15" x14ac:dyDescent="0.3">
      <c r="A11" t="s">
        <v>114</v>
      </c>
      <c r="B11" s="20" t="s">
        <v>91</v>
      </c>
      <c r="C11" s="41">
        <v>1182.4889000000001</v>
      </c>
      <c r="D11" s="91">
        <v>0.33349200000000001</v>
      </c>
      <c r="E11" s="92">
        <v>0.119738</v>
      </c>
      <c r="F11" s="92">
        <v>0.45811600000000002</v>
      </c>
      <c r="G11" s="92">
        <v>0.44303100000000001</v>
      </c>
      <c r="H11" s="92">
        <v>5.5705429999999998</v>
      </c>
      <c r="I11" s="92">
        <v>2.8445010000000002</v>
      </c>
      <c r="J11" s="91">
        <v>8.8234820000000003</v>
      </c>
      <c r="K11" s="92">
        <v>14.041824999999999</v>
      </c>
      <c r="L11" s="92">
        <v>16.357244000000001</v>
      </c>
      <c r="M11" s="92">
        <v>12.167657</v>
      </c>
      <c r="N11" s="92">
        <v>16.077234000000001</v>
      </c>
      <c r="O11" s="93">
        <v>12.895989999999999</v>
      </c>
    </row>
    <row r="12" spans="1:15" x14ac:dyDescent="0.3">
      <c r="A12" t="s">
        <v>114</v>
      </c>
      <c r="B12" s="20" t="s">
        <v>92</v>
      </c>
      <c r="C12" s="41">
        <v>53.24</v>
      </c>
      <c r="D12" s="91">
        <v>0.31829200000000002</v>
      </c>
      <c r="E12" s="92">
        <v>9.4003000000000003E-2</v>
      </c>
      <c r="F12" s="92">
        <v>0.54175200000000001</v>
      </c>
      <c r="G12" s="92">
        <v>0.98568</v>
      </c>
      <c r="H12" s="92">
        <v>3.4791059999999998</v>
      </c>
      <c r="I12" s="92">
        <v>2.6214339999999998</v>
      </c>
      <c r="J12" s="91">
        <v>7.7950999999999997</v>
      </c>
      <c r="K12" s="92">
        <v>12.140072</v>
      </c>
      <c r="L12" s="92">
        <v>15.444457</v>
      </c>
      <c r="M12" s="92">
        <v>13.325105000000001</v>
      </c>
      <c r="N12" s="92">
        <v>14.361005</v>
      </c>
      <c r="O12" s="93">
        <v>13.397568</v>
      </c>
    </row>
    <row r="13" spans="1:15" x14ac:dyDescent="0.3">
      <c r="A13" t="s">
        <v>114</v>
      </c>
      <c r="B13" s="20" t="s">
        <v>93</v>
      </c>
      <c r="C13" s="41">
        <v>1274.4110000000001</v>
      </c>
      <c r="D13" s="91">
        <v>0.198521</v>
      </c>
      <c r="E13" s="92">
        <v>0.318965</v>
      </c>
      <c r="F13" s="92">
        <v>3.8041999999999999E-2</v>
      </c>
      <c r="G13" s="92">
        <v>0.42419400000000002</v>
      </c>
      <c r="H13" s="92">
        <v>4.8482000000000003</v>
      </c>
      <c r="I13" s="92">
        <v>2.2954469999999998</v>
      </c>
      <c r="J13" s="91">
        <v>7.9095750000000002</v>
      </c>
      <c r="K13" s="92">
        <v>10.940617</v>
      </c>
      <c r="L13" s="92">
        <v>16.827328999999999</v>
      </c>
      <c r="M13" s="92">
        <v>15.821249</v>
      </c>
      <c r="N13" s="92">
        <v>18.300625</v>
      </c>
      <c r="O13" s="93">
        <v>14.515934</v>
      </c>
    </row>
    <row r="14" spans="1:15" x14ac:dyDescent="0.3">
      <c r="A14" t="s">
        <v>114</v>
      </c>
      <c r="B14" s="20" t="s">
        <v>94</v>
      </c>
      <c r="C14" s="41">
        <v>549.31010000000003</v>
      </c>
      <c r="D14" s="91">
        <v>0.37945099999999998</v>
      </c>
      <c r="E14" s="92">
        <v>0.39025900000000002</v>
      </c>
      <c r="F14" s="92">
        <v>0.43120799999999998</v>
      </c>
      <c r="G14" s="92">
        <v>0.30631900000000001</v>
      </c>
      <c r="H14" s="92">
        <v>5.9235290000000003</v>
      </c>
      <c r="I14" s="92">
        <v>3.8070970000000002</v>
      </c>
      <c r="J14" s="91">
        <v>4.9415620000000002</v>
      </c>
      <c r="K14" s="92">
        <v>12.735246999999999</v>
      </c>
      <c r="L14" s="92">
        <v>16.367242999999998</v>
      </c>
      <c r="M14" s="92">
        <v>13.026073999999999</v>
      </c>
      <c r="N14" s="92">
        <v>14.968437</v>
      </c>
      <c r="O14" s="93">
        <v>14.209315999999999</v>
      </c>
    </row>
    <row r="15" spans="1:15" x14ac:dyDescent="0.3">
      <c r="A15" t="s">
        <v>114</v>
      </c>
      <c r="B15" s="20" t="s">
        <v>95</v>
      </c>
      <c r="C15" s="41">
        <v>126.59</v>
      </c>
      <c r="D15" s="91">
        <v>0.377745</v>
      </c>
      <c r="E15" s="92">
        <v>0.118633</v>
      </c>
      <c r="F15" s="92">
        <v>0.40909400000000001</v>
      </c>
      <c r="G15" s="92">
        <v>1.039712</v>
      </c>
      <c r="H15" s="92">
        <v>4.7323570000000004</v>
      </c>
      <c r="I15" s="92">
        <v>3.4316529999999998</v>
      </c>
      <c r="J15" s="91">
        <v>10.791178</v>
      </c>
      <c r="K15" s="92">
        <v>15.242077999999999</v>
      </c>
      <c r="L15" s="92">
        <v>19.043095999999998</v>
      </c>
      <c r="M15" s="92">
        <v>16.513559999999998</v>
      </c>
      <c r="N15" s="92">
        <v>19.015160000000002</v>
      </c>
      <c r="O15" s="93">
        <v>15.855479000000001</v>
      </c>
    </row>
    <row r="16" spans="1:15" x14ac:dyDescent="0.3">
      <c r="A16" t="s">
        <v>114</v>
      </c>
      <c r="B16" s="20" t="s">
        <v>96</v>
      </c>
      <c r="C16" s="41">
        <v>85.68</v>
      </c>
      <c r="D16" s="91">
        <v>0.48780499999999999</v>
      </c>
      <c r="E16" s="92">
        <v>7.0077E-2</v>
      </c>
      <c r="F16" s="92">
        <v>5.8390999999999998E-2</v>
      </c>
      <c r="G16" s="92">
        <v>1.176471</v>
      </c>
      <c r="H16" s="92">
        <v>4.1069259999999996</v>
      </c>
      <c r="I16" s="92">
        <v>1.049652</v>
      </c>
      <c r="J16" s="91">
        <v>7.1267820000000004</v>
      </c>
      <c r="K16" s="92">
        <v>14.817689</v>
      </c>
      <c r="L16" s="92">
        <v>19.264695</v>
      </c>
      <c r="M16" s="92">
        <v>14.185835000000001</v>
      </c>
      <c r="N16" s="92">
        <v>17.815449999999998</v>
      </c>
      <c r="O16" s="93">
        <v>14.986288999999999</v>
      </c>
    </row>
    <row r="17" spans="1:15" x14ac:dyDescent="0.3">
      <c r="A17" t="s">
        <v>114</v>
      </c>
      <c r="B17" s="20" t="s">
        <v>97</v>
      </c>
      <c r="C17" s="41">
        <v>19.916499999999999</v>
      </c>
      <c r="D17" s="91">
        <v>0.31282799999999999</v>
      </c>
      <c r="E17" s="92">
        <v>0.46052500000000002</v>
      </c>
      <c r="F17" s="92">
        <v>0.27186900000000003</v>
      </c>
      <c r="G17" s="92">
        <v>0.57310300000000003</v>
      </c>
      <c r="H17" s="92">
        <v>5.0481559999999996</v>
      </c>
      <c r="I17" s="92">
        <v>0.78639300000000001</v>
      </c>
      <c r="J17" s="91">
        <v>4.7250220000000001</v>
      </c>
      <c r="K17" s="92">
        <v>11.579879999999999</v>
      </c>
      <c r="L17" s="92">
        <v>16.091536000000001</v>
      </c>
      <c r="M17" s="92">
        <v>12.669090000000001</v>
      </c>
      <c r="N17" s="92">
        <v>14.775924</v>
      </c>
      <c r="O17" s="93">
        <v>0</v>
      </c>
    </row>
    <row r="18" spans="1:15" x14ac:dyDescent="0.3">
      <c r="A18" t="s">
        <v>114</v>
      </c>
      <c r="B18" s="20" t="s">
        <v>98</v>
      </c>
      <c r="C18" s="41">
        <v>182.46600000000001</v>
      </c>
      <c r="D18" s="91">
        <v>0.69585699999999995</v>
      </c>
      <c r="E18" s="92">
        <v>0.32064599999999999</v>
      </c>
      <c r="F18" s="92">
        <v>7.8980999999999996E-2</v>
      </c>
      <c r="G18" s="92">
        <v>0.69353299999999996</v>
      </c>
      <c r="H18" s="92">
        <v>5.422987</v>
      </c>
      <c r="I18" s="92">
        <v>2.7298580000000001</v>
      </c>
      <c r="J18" s="91">
        <v>4.0880280000000004</v>
      </c>
      <c r="K18" s="92">
        <v>11.673873</v>
      </c>
      <c r="L18" s="92">
        <v>17.375126000000002</v>
      </c>
      <c r="M18" s="92">
        <v>14.266468</v>
      </c>
      <c r="N18" s="92">
        <v>16.043865</v>
      </c>
      <c r="O18" s="93">
        <v>13.089922</v>
      </c>
    </row>
    <row r="19" spans="1:15" x14ac:dyDescent="0.3">
      <c r="A19" t="s">
        <v>114</v>
      </c>
      <c r="B19" s="20" t="s">
        <v>99</v>
      </c>
      <c r="C19" s="41">
        <v>684.97500000000002</v>
      </c>
      <c r="D19" s="94">
        <v>0.43837799999999999</v>
      </c>
      <c r="E19" s="95">
        <v>0.175789</v>
      </c>
      <c r="F19" s="95">
        <v>3.0939999999999999E-2</v>
      </c>
      <c r="G19" s="95">
        <v>0.73890599999999995</v>
      </c>
      <c r="H19" s="95">
        <v>4.9530450000000004</v>
      </c>
      <c r="I19" s="95">
        <v>2.8492540000000002</v>
      </c>
      <c r="J19" s="94">
        <v>9.0087480000000006</v>
      </c>
      <c r="K19" s="95">
        <v>14.261777</v>
      </c>
      <c r="L19" s="95">
        <v>17.239342000000001</v>
      </c>
      <c r="M19" s="95">
        <v>14.005495</v>
      </c>
      <c r="N19" s="95">
        <v>16.843958000000001</v>
      </c>
      <c r="O19" s="96">
        <v>14.751321000000001</v>
      </c>
    </row>
    <row r="20" spans="1:15" x14ac:dyDescent="0.3">
      <c r="A20" t="s">
        <v>114</v>
      </c>
      <c r="B20" s="20" t="s">
        <v>100</v>
      </c>
      <c r="C20" s="41">
        <v>65.343299999999999</v>
      </c>
      <c r="D20" s="94">
        <v>0.23375299999999999</v>
      </c>
      <c r="E20" s="95">
        <v>0.475134</v>
      </c>
      <c r="F20" s="95">
        <v>0.23731099999999999</v>
      </c>
      <c r="G20" s="95">
        <v>0.79960500000000001</v>
      </c>
      <c r="H20" s="95">
        <v>4.3084530000000001</v>
      </c>
      <c r="I20" s="95">
        <v>1.0339449999999999</v>
      </c>
      <c r="J20" s="94">
        <v>6.2751890000000001</v>
      </c>
      <c r="K20" s="95">
        <v>11.838960999999999</v>
      </c>
      <c r="L20" s="95">
        <v>13.557149000000001</v>
      </c>
      <c r="M20" s="95">
        <v>10.390867999999999</v>
      </c>
      <c r="N20" s="95">
        <v>13.139113</v>
      </c>
      <c r="O20" s="96">
        <v>12.74464</v>
      </c>
    </row>
    <row r="21" spans="1:15" x14ac:dyDescent="0.3">
      <c r="A21" t="s">
        <v>114</v>
      </c>
      <c r="B21" s="20" t="s">
        <v>101</v>
      </c>
      <c r="C21" s="41">
        <v>26.923300000000001</v>
      </c>
      <c r="D21" s="91">
        <v>0.330955</v>
      </c>
      <c r="E21" s="92">
        <v>0.33241300000000001</v>
      </c>
      <c r="F21" s="92">
        <v>0.29092699999999999</v>
      </c>
      <c r="G21" s="92">
        <v>4.7565000000000003E-2</v>
      </c>
      <c r="H21" s="92">
        <v>6.0916410000000001</v>
      </c>
      <c r="I21" s="92">
        <v>1.8525659999999999</v>
      </c>
      <c r="J21" s="91">
        <v>10.227551999999999</v>
      </c>
      <c r="K21" s="92">
        <v>13.58915</v>
      </c>
      <c r="L21" s="92">
        <v>16.553878000000001</v>
      </c>
      <c r="M21" s="92">
        <v>13.578861</v>
      </c>
      <c r="N21" s="92">
        <v>16.924375000000001</v>
      </c>
      <c r="O21" s="93">
        <v>0</v>
      </c>
    </row>
    <row r="22" spans="1:15" x14ac:dyDescent="0.3">
      <c r="A22" t="s">
        <v>114</v>
      </c>
      <c r="B22" s="20" t="s">
        <v>102</v>
      </c>
      <c r="C22" s="41">
        <v>133.09100000000001</v>
      </c>
      <c r="D22" s="91">
        <v>0.35115299999999999</v>
      </c>
      <c r="E22" s="92">
        <v>0.30598799999999998</v>
      </c>
      <c r="F22" s="92">
        <v>0.166328</v>
      </c>
      <c r="G22" s="92">
        <v>0.39515299999999998</v>
      </c>
      <c r="H22" s="92">
        <v>5.6269390000000001</v>
      </c>
      <c r="I22" s="92">
        <v>3.7487720000000002</v>
      </c>
      <c r="J22" s="91">
        <v>10.47555</v>
      </c>
      <c r="K22" s="92">
        <v>13.02403</v>
      </c>
      <c r="L22" s="92">
        <v>14.99436</v>
      </c>
      <c r="M22" s="92">
        <v>12.225823</v>
      </c>
      <c r="N22" s="92">
        <v>15.245964000000001</v>
      </c>
      <c r="O22" s="93">
        <v>14.96049</v>
      </c>
    </row>
    <row r="23" spans="1:15" x14ac:dyDescent="0.3">
      <c r="A23" t="s">
        <v>114</v>
      </c>
      <c r="B23" s="20" t="s">
        <v>103</v>
      </c>
      <c r="C23" s="41">
        <v>14.5962</v>
      </c>
      <c r="D23" s="91">
        <v>0.46099899999999999</v>
      </c>
      <c r="E23" s="92">
        <v>0.18463499999999999</v>
      </c>
      <c r="F23" s="92">
        <v>0.202517</v>
      </c>
      <c r="G23" s="92">
        <v>0.968858</v>
      </c>
      <c r="H23" s="92">
        <v>4.4473229999999999</v>
      </c>
      <c r="I23" s="92">
        <v>2.4079139999999999</v>
      </c>
      <c r="J23" s="91">
        <v>9.4373009999999997</v>
      </c>
      <c r="K23" s="92">
        <v>0</v>
      </c>
      <c r="L23" s="92">
        <v>0</v>
      </c>
      <c r="M23" s="92">
        <v>0</v>
      </c>
      <c r="N23" s="92">
        <v>0</v>
      </c>
      <c r="O23" s="93">
        <v>0</v>
      </c>
    </row>
    <row r="24" spans="1:15" x14ac:dyDescent="0.3">
      <c r="A24" t="s">
        <v>114</v>
      </c>
      <c r="B24" s="28" t="s">
        <v>104</v>
      </c>
      <c r="C24" s="42">
        <v>104.99120000000001</v>
      </c>
      <c r="D24" s="91">
        <v>0.34511999999999998</v>
      </c>
      <c r="E24" s="92">
        <v>0.230741</v>
      </c>
      <c r="F24" s="92">
        <v>0.26844299999999999</v>
      </c>
      <c r="G24" s="92">
        <v>0.55344300000000002</v>
      </c>
      <c r="H24" s="92">
        <v>3.631043</v>
      </c>
      <c r="I24" s="92">
        <v>2.7856260000000002</v>
      </c>
      <c r="J24" s="91">
        <v>9.1496940000000002</v>
      </c>
      <c r="K24" s="92">
        <v>15.321351</v>
      </c>
      <c r="L24" s="92">
        <v>20.673542000000001</v>
      </c>
      <c r="M24" s="92">
        <v>18.868438999999999</v>
      </c>
      <c r="N24" s="92">
        <v>21.505499</v>
      </c>
      <c r="O24" s="93">
        <v>15.96523</v>
      </c>
    </row>
    <row r="25" spans="1:15" x14ac:dyDescent="0.3">
      <c r="A25" t="s">
        <v>114</v>
      </c>
      <c r="B25" s="20" t="s">
        <v>105</v>
      </c>
      <c r="C25" s="41">
        <v>417.32</v>
      </c>
      <c r="D25" s="91">
        <v>0.41283900000000001</v>
      </c>
      <c r="E25" s="92">
        <v>0.12235799999999999</v>
      </c>
      <c r="F25" s="92">
        <v>0.336733</v>
      </c>
      <c r="G25" s="92">
        <v>0.89058800000000005</v>
      </c>
      <c r="H25" s="92">
        <v>4.2700449999999996</v>
      </c>
      <c r="I25" s="92">
        <v>1.956952</v>
      </c>
      <c r="J25" s="91">
        <v>8.5865950000000009</v>
      </c>
      <c r="K25" s="92">
        <v>10.663822</v>
      </c>
      <c r="L25" s="92">
        <v>13.836429000000001</v>
      </c>
      <c r="M25" s="92">
        <v>11.612163000000001</v>
      </c>
      <c r="N25" s="92">
        <v>13.563473999999999</v>
      </c>
      <c r="O25" s="93">
        <v>12.796773</v>
      </c>
    </row>
    <row r="26" spans="1:15" x14ac:dyDescent="0.3">
      <c r="A26" t="s">
        <v>114</v>
      </c>
      <c r="B26" s="20" t="s">
        <v>106</v>
      </c>
      <c r="C26" s="41">
        <v>15.994400000000001</v>
      </c>
      <c r="D26" s="91">
        <v>0.31474200000000002</v>
      </c>
      <c r="E26" s="92">
        <v>0.35076400000000002</v>
      </c>
      <c r="F26" s="92">
        <v>0.83329200000000003</v>
      </c>
      <c r="G26" s="92">
        <v>1.230116</v>
      </c>
      <c r="H26" s="92">
        <v>2.7119010000000001</v>
      </c>
      <c r="I26" s="92">
        <v>0.86140600000000001</v>
      </c>
      <c r="J26" s="91">
        <v>5.0190409999999996</v>
      </c>
      <c r="K26" s="92">
        <v>11.655953</v>
      </c>
      <c r="L26" s="92">
        <v>16.860382000000001</v>
      </c>
      <c r="M26" s="92">
        <v>0</v>
      </c>
      <c r="N26" s="92">
        <v>0</v>
      </c>
      <c r="O26" s="93">
        <v>0</v>
      </c>
    </row>
    <row r="27" spans="1:15" x14ac:dyDescent="0.3">
      <c r="A27" t="s">
        <v>114</v>
      </c>
      <c r="B27" s="20" t="s">
        <v>107</v>
      </c>
      <c r="C27" s="41">
        <v>106.48050000000001</v>
      </c>
      <c r="D27" s="91">
        <v>0.26946199999999998</v>
      </c>
      <c r="E27" s="92">
        <v>0.16631599999999999</v>
      </c>
      <c r="F27" s="92">
        <v>8.4500000000000005E-4</v>
      </c>
      <c r="G27" s="92">
        <v>0.14985000000000001</v>
      </c>
      <c r="H27" s="92">
        <v>5.1390310000000001</v>
      </c>
      <c r="I27" s="92">
        <v>2.6688170000000002</v>
      </c>
      <c r="J27" s="91">
        <v>9.3123459999999998</v>
      </c>
      <c r="K27" s="92">
        <v>12.427284</v>
      </c>
      <c r="L27" s="92">
        <v>15.552975999999999</v>
      </c>
      <c r="M27" s="92">
        <v>13.428203</v>
      </c>
      <c r="N27" s="92">
        <v>15.982116</v>
      </c>
      <c r="O27" s="93">
        <v>13.987665</v>
      </c>
    </row>
    <row r="28" spans="1:15" x14ac:dyDescent="0.3">
      <c r="A28" t="s">
        <v>114</v>
      </c>
      <c r="B28" s="20" t="s">
        <v>108</v>
      </c>
      <c r="C28" s="41">
        <v>23.379100000000001</v>
      </c>
      <c r="D28" s="91">
        <v>0.25257800000000002</v>
      </c>
      <c r="E28" s="92">
        <v>7.0196999999999996E-2</v>
      </c>
      <c r="F28" s="92">
        <v>0.19296199999999999</v>
      </c>
      <c r="G28" s="92">
        <v>0.92678099999999997</v>
      </c>
      <c r="H28" s="92">
        <v>4.5268389999999998</v>
      </c>
      <c r="I28" s="92">
        <v>1.2805679999999999</v>
      </c>
      <c r="J28" s="91">
        <v>5.5056390000000004</v>
      </c>
      <c r="K28" s="92">
        <v>9.8814130000000002</v>
      </c>
      <c r="L28" s="92">
        <v>13.637333999999999</v>
      </c>
      <c r="M28" s="92">
        <v>12.000265000000001</v>
      </c>
      <c r="N28" s="92">
        <v>15.315545</v>
      </c>
      <c r="O28" s="93">
        <v>0</v>
      </c>
    </row>
    <row r="29" spans="1:15" x14ac:dyDescent="0.3">
      <c r="A29" t="s">
        <v>114</v>
      </c>
      <c r="B29" s="20" t="s">
        <v>109</v>
      </c>
      <c r="C29" s="41">
        <v>602.88170000000002</v>
      </c>
      <c r="D29" s="91">
        <v>0.28339599999999998</v>
      </c>
      <c r="E29" s="92">
        <v>0.31299500000000002</v>
      </c>
      <c r="F29" s="92">
        <v>0.38823200000000002</v>
      </c>
      <c r="G29" s="92">
        <v>0.36971199999999999</v>
      </c>
      <c r="H29" s="92">
        <v>5.0225799999999996</v>
      </c>
      <c r="I29" s="92">
        <v>3.4192339999999999</v>
      </c>
      <c r="J29" s="91">
        <v>9.2454059999999991</v>
      </c>
      <c r="K29" s="92">
        <v>12.542108000000001</v>
      </c>
      <c r="L29" s="92">
        <v>16.495049999999999</v>
      </c>
      <c r="M29" s="92">
        <v>13.737612</v>
      </c>
      <c r="N29" s="92">
        <v>17.417210000000001</v>
      </c>
      <c r="O29" s="93">
        <v>13.916829999999999</v>
      </c>
    </row>
    <row r="30" spans="1:15" x14ac:dyDescent="0.3">
      <c r="A30" t="s">
        <v>114</v>
      </c>
      <c r="B30" s="20" t="s">
        <v>110</v>
      </c>
      <c r="C30" s="41">
        <v>171.37</v>
      </c>
      <c r="D30" s="91">
        <v>0.45309300000000002</v>
      </c>
      <c r="E30" s="92">
        <v>0.55154599999999998</v>
      </c>
      <c r="F30" s="92">
        <v>7.0072999999999996E-2</v>
      </c>
      <c r="G30" s="92">
        <v>0.92501599999999995</v>
      </c>
      <c r="H30" s="92">
        <v>4.8326909999999996</v>
      </c>
      <c r="I30" s="92">
        <v>2.3471090000000001</v>
      </c>
      <c r="J30" s="91">
        <v>4.9353990000000003</v>
      </c>
      <c r="K30" s="92">
        <v>12.108283999999999</v>
      </c>
      <c r="L30" s="92">
        <v>15.604213</v>
      </c>
      <c r="M30" s="92">
        <v>13.255280000000001</v>
      </c>
      <c r="N30" s="92">
        <v>14.123931000000001</v>
      </c>
      <c r="O30" s="93">
        <v>10.673422</v>
      </c>
    </row>
    <row r="31" spans="1:15" x14ac:dyDescent="0.3">
      <c r="A31" t="s">
        <v>114</v>
      </c>
      <c r="B31" s="20" t="s">
        <v>111</v>
      </c>
      <c r="C31" s="41">
        <v>25.47</v>
      </c>
      <c r="D31" s="91">
        <v>0.46893299999999999</v>
      </c>
      <c r="E31" s="92">
        <v>0.236128</v>
      </c>
      <c r="F31" s="92">
        <v>0.235018</v>
      </c>
      <c r="G31" s="92">
        <v>1.8875189999999999</v>
      </c>
      <c r="H31" s="92">
        <v>2.9923169999999999</v>
      </c>
      <c r="I31" s="92">
        <v>0.59241699999999997</v>
      </c>
      <c r="J31" s="91">
        <v>4.5566500000000003</v>
      </c>
      <c r="K31" s="92">
        <v>9.7834760000000003</v>
      </c>
      <c r="L31" s="92">
        <v>13.757885</v>
      </c>
      <c r="M31" s="92">
        <v>10.700804</v>
      </c>
      <c r="N31" s="92">
        <v>14.068218</v>
      </c>
      <c r="O31" s="93">
        <v>0</v>
      </c>
    </row>
    <row r="32" spans="1:15" x14ac:dyDescent="0.3">
      <c r="A32" t="s">
        <v>114</v>
      </c>
      <c r="B32" s="20" t="s">
        <v>112</v>
      </c>
      <c r="C32" s="41">
        <v>311.01560000000001</v>
      </c>
      <c r="D32" s="91">
        <v>0.40084199999999998</v>
      </c>
      <c r="E32" s="92">
        <v>6.8170000000000001E-3</v>
      </c>
      <c r="F32" s="92">
        <v>0.118535</v>
      </c>
      <c r="G32" s="92">
        <v>0.35508299999999998</v>
      </c>
      <c r="H32" s="92">
        <v>4.4931830000000001</v>
      </c>
      <c r="I32" s="92">
        <v>1.889413</v>
      </c>
      <c r="J32" s="91">
        <v>8.9057309999999994</v>
      </c>
      <c r="K32" s="92">
        <v>11.426330999999999</v>
      </c>
      <c r="L32" s="92">
        <v>14.412246</v>
      </c>
      <c r="M32" s="92">
        <v>10.90663</v>
      </c>
      <c r="N32" s="92">
        <v>14.507795</v>
      </c>
      <c r="O32" s="93">
        <v>13.513068000000001</v>
      </c>
    </row>
    <row r="33" spans="1:15" x14ac:dyDescent="0.3">
      <c r="A33" t="s">
        <v>114</v>
      </c>
      <c r="B33" s="20" t="s">
        <v>113</v>
      </c>
      <c r="C33" s="41">
        <v>16.14</v>
      </c>
      <c r="D33" s="91">
        <v>0.35806900000000003</v>
      </c>
      <c r="E33" s="92">
        <v>4.3388999999999997E-2</v>
      </c>
      <c r="F33" s="92">
        <v>0.296516</v>
      </c>
      <c r="G33" s="92">
        <v>0.70136600000000004</v>
      </c>
      <c r="H33" s="92">
        <v>5.1328820000000004</v>
      </c>
      <c r="I33" s="92">
        <v>2.84185</v>
      </c>
      <c r="J33" s="91">
        <v>8.8407850000000003</v>
      </c>
      <c r="K33" s="92">
        <v>16.482505</v>
      </c>
      <c r="L33" s="92">
        <v>19.231103000000001</v>
      </c>
      <c r="M33" s="92">
        <v>0</v>
      </c>
      <c r="N33" s="92">
        <v>0</v>
      </c>
      <c r="O33" s="93">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6A4B0-5916-453F-BD77-F8C14EE489CB}">
  <dimension ref="A1:O30"/>
  <sheetViews>
    <sheetView topLeftCell="C4" workbookViewId="0">
      <selection sqref="A1:O30"/>
    </sheetView>
  </sheetViews>
  <sheetFormatPr defaultRowHeight="14.4" x14ac:dyDescent="0.3"/>
  <cols>
    <col min="1" max="1" width="13.5546875" customWidth="1"/>
    <col min="2" max="2" width="54.5546875" customWidth="1"/>
    <col min="3" max="3" width="11.88671875" customWidth="1"/>
    <col min="4" max="5" width="9.109375" customWidth="1"/>
    <col min="6" max="6" width="10" customWidth="1"/>
    <col min="7" max="7" width="9.21875" customWidth="1"/>
    <col min="8" max="9" width="10.5546875" customWidth="1"/>
    <col min="10" max="10" width="9.109375" customWidth="1"/>
    <col min="11" max="14" width="9.21875" customWidth="1"/>
    <col min="15" max="15" width="9.88671875" customWidth="1"/>
  </cols>
  <sheetData>
    <row r="1" spans="1:15" ht="15" thickBot="1" x14ac:dyDescent="0.35">
      <c r="A1" s="1" t="s">
        <v>0</v>
      </c>
      <c r="B1" s="15" t="s">
        <v>1</v>
      </c>
      <c r="C1" s="16" t="s">
        <v>2</v>
      </c>
      <c r="D1" s="46" t="s">
        <v>3</v>
      </c>
      <c r="E1" s="47" t="s">
        <v>4</v>
      </c>
      <c r="F1" s="47" t="s">
        <v>5</v>
      </c>
      <c r="G1" s="47" t="s">
        <v>6</v>
      </c>
      <c r="H1" s="47" t="s">
        <v>7</v>
      </c>
      <c r="I1" s="48" t="s">
        <v>8</v>
      </c>
      <c r="J1" s="49" t="s">
        <v>9</v>
      </c>
      <c r="K1" s="50" t="s">
        <v>10</v>
      </c>
      <c r="L1" s="50" t="s">
        <v>11</v>
      </c>
      <c r="M1" s="50" t="s">
        <v>12</v>
      </c>
      <c r="N1" s="50" t="s">
        <v>13</v>
      </c>
      <c r="O1" s="50" t="s">
        <v>14</v>
      </c>
    </row>
    <row r="2" spans="1:15" x14ac:dyDescent="0.3">
      <c r="A2" t="s">
        <v>139</v>
      </c>
      <c r="B2" s="17" t="s">
        <v>115</v>
      </c>
      <c r="C2" s="40">
        <v>896.5</v>
      </c>
      <c r="D2" s="68">
        <v>0.36674800000000002</v>
      </c>
      <c r="E2" s="69">
        <v>7.4678999999999995E-2</v>
      </c>
      <c r="F2" s="70">
        <v>0.45943499999999998</v>
      </c>
      <c r="G2" s="70">
        <v>0.40659400000000001</v>
      </c>
      <c r="H2" s="70">
        <v>4.7264150000000003</v>
      </c>
      <c r="I2" s="70">
        <v>1.4140269999999999</v>
      </c>
      <c r="J2" s="71">
        <v>5.1267620000000003</v>
      </c>
      <c r="K2" s="72">
        <v>14.625672</v>
      </c>
      <c r="L2" s="72">
        <v>22.684760000000001</v>
      </c>
      <c r="M2" s="72">
        <v>15.658656000000001</v>
      </c>
      <c r="N2" s="72">
        <v>25.752113000000001</v>
      </c>
      <c r="O2" s="73">
        <v>14.784205</v>
      </c>
    </row>
    <row r="3" spans="1:15" x14ac:dyDescent="0.3">
      <c r="A3" t="s">
        <v>139</v>
      </c>
      <c r="B3" s="20" t="s">
        <v>116</v>
      </c>
      <c r="C3" s="41">
        <v>131.99</v>
      </c>
      <c r="D3" s="74">
        <v>0.39994000000000002</v>
      </c>
      <c r="E3" s="75">
        <v>1.5155E-2</v>
      </c>
      <c r="F3" s="76">
        <v>0.15129699999999999</v>
      </c>
      <c r="G3" s="76">
        <v>1.9536469999999999</v>
      </c>
      <c r="H3" s="76">
        <v>1.9700249999999999</v>
      </c>
      <c r="I3" s="76">
        <v>0.52754500000000004</v>
      </c>
      <c r="J3" s="74">
        <v>2.3972069999999999</v>
      </c>
      <c r="K3" s="76">
        <v>16.559660000000001</v>
      </c>
      <c r="L3" s="76">
        <v>20.873166000000001</v>
      </c>
      <c r="M3" s="76">
        <v>14.778476</v>
      </c>
      <c r="N3" s="76">
        <v>19.473300999999999</v>
      </c>
      <c r="O3" s="77">
        <v>17.746987000000001</v>
      </c>
    </row>
    <row r="4" spans="1:15" x14ac:dyDescent="0.3">
      <c r="A4" t="s">
        <v>139</v>
      </c>
      <c r="B4" s="20" t="s">
        <v>117</v>
      </c>
      <c r="C4" s="41">
        <v>18.286000000000001</v>
      </c>
      <c r="D4" s="74">
        <v>0.60335899999999998</v>
      </c>
      <c r="E4" s="75">
        <v>0.40305000000000002</v>
      </c>
      <c r="F4" s="76">
        <v>0.49518400000000001</v>
      </c>
      <c r="G4" s="76">
        <v>2.5733920000000001</v>
      </c>
      <c r="H4" s="76">
        <v>1.6001780000000001</v>
      </c>
      <c r="I4" s="76">
        <v>0.71601700000000001</v>
      </c>
      <c r="J4" s="74">
        <v>1.396603</v>
      </c>
      <c r="K4" s="76">
        <v>15.368359999999999</v>
      </c>
      <c r="L4" s="76">
        <v>23.226998999999999</v>
      </c>
      <c r="M4" s="76">
        <v>0</v>
      </c>
      <c r="N4" s="76">
        <v>0</v>
      </c>
      <c r="O4" s="77">
        <v>0</v>
      </c>
    </row>
    <row r="5" spans="1:15" x14ac:dyDescent="0.3">
      <c r="A5" t="s">
        <v>139</v>
      </c>
      <c r="B5" s="20" t="s">
        <v>118</v>
      </c>
      <c r="C5" s="41">
        <v>124.8134</v>
      </c>
      <c r="D5" s="74">
        <v>0.32279799999999997</v>
      </c>
      <c r="E5" s="75">
        <v>3.6360999999999997E-2</v>
      </c>
      <c r="F5" s="76">
        <v>8.1415000000000001E-2</v>
      </c>
      <c r="G5" s="76">
        <v>1.0531010000000001</v>
      </c>
      <c r="H5" s="76">
        <v>5.4116479999999996</v>
      </c>
      <c r="I5" s="76">
        <v>4.1331759999999997</v>
      </c>
      <c r="J5" s="74">
        <v>3.7909570000000001</v>
      </c>
      <c r="K5" s="76">
        <v>16.93873</v>
      </c>
      <c r="L5" s="76">
        <v>22.719456000000001</v>
      </c>
      <c r="M5" s="76">
        <v>18.559365</v>
      </c>
      <c r="N5" s="76">
        <v>23.03952</v>
      </c>
      <c r="O5" s="77">
        <v>16.909483000000002</v>
      </c>
    </row>
    <row r="6" spans="1:15" x14ac:dyDescent="0.3">
      <c r="A6" t="s">
        <v>139</v>
      </c>
      <c r="B6" s="24" t="s">
        <v>119</v>
      </c>
      <c r="C6" s="43">
        <v>17.989999999999998</v>
      </c>
      <c r="D6" s="78">
        <v>0.38759700000000002</v>
      </c>
      <c r="E6" s="79">
        <v>0</v>
      </c>
      <c r="F6" s="80">
        <v>0.60773500000000003</v>
      </c>
      <c r="G6" s="80">
        <v>2.1218720000000002</v>
      </c>
      <c r="H6" s="80">
        <v>2.1578650000000001</v>
      </c>
      <c r="I6" s="80">
        <v>0.22284100000000001</v>
      </c>
      <c r="J6" s="78">
        <v>5.2046780000000004</v>
      </c>
      <c r="K6" s="80">
        <v>17.040575</v>
      </c>
      <c r="L6" s="80">
        <v>22.354486999999999</v>
      </c>
      <c r="M6" s="80">
        <v>0</v>
      </c>
      <c r="N6" s="80">
        <v>0</v>
      </c>
      <c r="O6" s="81">
        <v>0</v>
      </c>
    </row>
    <row r="7" spans="1:15" x14ac:dyDescent="0.3">
      <c r="A7" t="s">
        <v>139</v>
      </c>
      <c r="B7" s="24" t="s">
        <v>120</v>
      </c>
      <c r="C7" s="43">
        <v>165.958</v>
      </c>
      <c r="D7" s="78">
        <v>0.51791699999999996</v>
      </c>
      <c r="E7" s="79">
        <v>0.37279600000000002</v>
      </c>
      <c r="F7" s="80">
        <v>0.303371</v>
      </c>
      <c r="G7" s="80">
        <v>1.6032059999999999</v>
      </c>
      <c r="H7" s="80">
        <v>3.0801430000000001</v>
      </c>
      <c r="I7" s="80">
        <v>1.6662790000000001</v>
      </c>
      <c r="J7" s="78">
        <v>2.6421579999999998</v>
      </c>
      <c r="K7" s="80">
        <v>13.189792000000001</v>
      </c>
      <c r="L7" s="80">
        <v>21.475436999999999</v>
      </c>
      <c r="M7" s="80">
        <v>14.851115999999999</v>
      </c>
      <c r="N7" s="80">
        <v>17.417266000000001</v>
      </c>
      <c r="O7" s="81">
        <v>15.880209000000001</v>
      </c>
    </row>
    <row r="8" spans="1:15" x14ac:dyDescent="0.3">
      <c r="A8" t="s">
        <v>139</v>
      </c>
      <c r="B8" s="20" t="s">
        <v>121</v>
      </c>
      <c r="C8" s="41">
        <v>122.14400000000001</v>
      </c>
      <c r="D8" s="74">
        <v>0.32234600000000002</v>
      </c>
      <c r="E8" s="75">
        <v>0.18290500000000001</v>
      </c>
      <c r="F8" s="76">
        <v>0.39617999999999998</v>
      </c>
      <c r="G8" s="76">
        <v>0.60462099999999996</v>
      </c>
      <c r="H8" s="76">
        <v>5.8100959999999997</v>
      </c>
      <c r="I8" s="76">
        <v>2.0230199999999998</v>
      </c>
      <c r="J8" s="74">
        <v>5.0086830000000004</v>
      </c>
      <c r="K8" s="76">
        <v>21.903986</v>
      </c>
      <c r="L8" s="76">
        <v>27.994109000000002</v>
      </c>
      <c r="M8" s="76">
        <v>21.798202</v>
      </c>
      <c r="N8" s="76">
        <v>27.231686</v>
      </c>
      <c r="O8" s="77">
        <v>19.783761999999999</v>
      </c>
    </row>
    <row r="9" spans="1:15" x14ac:dyDescent="0.3">
      <c r="A9" t="s">
        <v>139</v>
      </c>
      <c r="B9" s="20" t="s">
        <v>122</v>
      </c>
      <c r="C9" s="41">
        <v>3160.6545999999998</v>
      </c>
      <c r="D9" s="74">
        <v>0.20097100000000001</v>
      </c>
      <c r="E9" s="75">
        <v>0.12670400000000001</v>
      </c>
      <c r="F9" s="76">
        <v>0.66094699999999995</v>
      </c>
      <c r="G9" s="76">
        <v>0.70159300000000002</v>
      </c>
      <c r="H9" s="76">
        <v>5.1597869999999997</v>
      </c>
      <c r="I9" s="76">
        <v>0.95190399999999997</v>
      </c>
      <c r="J9" s="74">
        <v>2.6908660000000002</v>
      </c>
      <c r="K9" s="76">
        <v>17.449086999999999</v>
      </c>
      <c r="L9" s="76">
        <v>23.815861999999999</v>
      </c>
      <c r="M9" s="76">
        <v>18.473500000000001</v>
      </c>
      <c r="N9" s="76">
        <v>21.340803000000001</v>
      </c>
      <c r="O9" s="77">
        <v>16.413575000000002</v>
      </c>
    </row>
    <row r="10" spans="1:15" x14ac:dyDescent="0.3">
      <c r="A10" t="s">
        <v>139</v>
      </c>
      <c r="B10" s="20" t="s">
        <v>171</v>
      </c>
      <c r="C10" s="41">
        <v>222.77600000000001</v>
      </c>
      <c r="D10" s="74">
        <v>0.32705899999999999</v>
      </c>
      <c r="E10" s="75">
        <v>0.60411400000000004</v>
      </c>
      <c r="F10" s="76">
        <v>0.27842699999999998</v>
      </c>
      <c r="G10" s="76">
        <v>1.540257</v>
      </c>
      <c r="H10" s="76">
        <v>6.0116209999999999</v>
      </c>
      <c r="I10" s="76">
        <v>4.1832099999999999</v>
      </c>
      <c r="J10" s="74">
        <v>7.2162170000000003</v>
      </c>
      <c r="K10" s="76">
        <v>18.280764999999999</v>
      </c>
      <c r="L10" s="76">
        <v>26.799876999999999</v>
      </c>
      <c r="M10" s="76">
        <v>23.580936000000001</v>
      </c>
      <c r="N10" s="76">
        <v>26.530083000000001</v>
      </c>
      <c r="O10" s="77">
        <v>19.132438</v>
      </c>
    </row>
    <row r="11" spans="1:15" x14ac:dyDescent="0.3">
      <c r="A11" t="s">
        <v>139</v>
      </c>
      <c r="B11" s="20" t="s">
        <v>123</v>
      </c>
      <c r="C11" s="41">
        <v>457.05709999999999</v>
      </c>
      <c r="D11" s="74">
        <v>0.54620899999999994</v>
      </c>
      <c r="E11" s="75">
        <v>0.19178700000000001</v>
      </c>
      <c r="F11" s="76">
        <v>0.76223600000000002</v>
      </c>
      <c r="G11" s="76">
        <v>1.261385</v>
      </c>
      <c r="H11" s="76">
        <v>4.2684740000000003</v>
      </c>
      <c r="I11" s="76">
        <v>3.2695759999999998</v>
      </c>
      <c r="J11" s="74">
        <v>0.11562799999999999</v>
      </c>
      <c r="K11" s="76">
        <v>19.516583000000001</v>
      </c>
      <c r="L11" s="76">
        <v>26.507237</v>
      </c>
      <c r="M11" s="76">
        <v>20.15802</v>
      </c>
      <c r="N11" s="76">
        <v>22.043880999999999</v>
      </c>
      <c r="O11" s="77">
        <v>17.42998</v>
      </c>
    </row>
    <row r="12" spans="1:15" x14ac:dyDescent="0.3">
      <c r="A12" t="s">
        <v>139</v>
      </c>
      <c r="B12" s="20" t="s">
        <v>124</v>
      </c>
      <c r="C12" s="41">
        <v>352.45</v>
      </c>
      <c r="D12" s="74">
        <v>0.152979</v>
      </c>
      <c r="E12" s="75">
        <v>0.87869900000000001</v>
      </c>
      <c r="F12" s="76">
        <v>1.055137</v>
      </c>
      <c r="G12" s="76">
        <v>0.487541</v>
      </c>
      <c r="H12" s="76">
        <v>7.5887539999999998</v>
      </c>
      <c r="I12" s="76">
        <v>4.038138</v>
      </c>
      <c r="J12" s="74">
        <v>10.527471</v>
      </c>
      <c r="K12" s="76">
        <v>20.442485999999999</v>
      </c>
      <c r="L12" s="76">
        <v>25.040856000000002</v>
      </c>
      <c r="M12" s="76">
        <v>19.467645000000001</v>
      </c>
      <c r="N12" s="76">
        <v>24.068418000000001</v>
      </c>
      <c r="O12" s="77">
        <v>17.217158999999999</v>
      </c>
    </row>
    <row r="13" spans="1:15" x14ac:dyDescent="0.3">
      <c r="A13" t="s">
        <v>139</v>
      </c>
      <c r="B13" s="20" t="s">
        <v>125</v>
      </c>
      <c r="C13" s="41">
        <v>221.27</v>
      </c>
      <c r="D13" s="74">
        <v>0.43646499999999999</v>
      </c>
      <c r="E13" s="75">
        <v>0.57068399999999997</v>
      </c>
      <c r="F13" s="76">
        <v>0.82470500000000002</v>
      </c>
      <c r="G13" s="76">
        <v>2.811086</v>
      </c>
      <c r="H13" s="76">
        <v>3.8533750000000002</v>
      </c>
      <c r="I13" s="76">
        <v>2.568025</v>
      </c>
      <c r="J13" s="74">
        <v>7.0281510000000003</v>
      </c>
      <c r="K13" s="76">
        <v>25.680318</v>
      </c>
      <c r="L13" s="76">
        <v>29.044687</v>
      </c>
      <c r="M13" s="76">
        <v>21.890643000000001</v>
      </c>
      <c r="N13" s="76">
        <v>25.969234</v>
      </c>
      <c r="O13" s="77">
        <v>19.958912000000002</v>
      </c>
    </row>
    <row r="14" spans="1:15" x14ac:dyDescent="0.3">
      <c r="A14" t="s">
        <v>139</v>
      </c>
      <c r="B14" s="20" t="s">
        <v>126</v>
      </c>
      <c r="C14" s="41">
        <v>24.297899999999998</v>
      </c>
      <c r="D14" s="74">
        <v>0.115104</v>
      </c>
      <c r="E14" s="75">
        <v>1.1371629999999999</v>
      </c>
      <c r="F14" s="76">
        <v>1.948518</v>
      </c>
      <c r="G14" s="76">
        <v>1.213838</v>
      </c>
      <c r="H14" s="76">
        <v>8.1931080000000005</v>
      </c>
      <c r="I14" s="76">
        <v>4.4042640000000004</v>
      </c>
      <c r="J14" s="74">
        <v>5.8298560000000004</v>
      </c>
      <c r="K14" s="76">
        <v>19.057359999999999</v>
      </c>
      <c r="L14" s="76">
        <v>27.079858999999999</v>
      </c>
      <c r="M14" s="76">
        <v>20.849819</v>
      </c>
      <c r="N14" s="76">
        <v>0</v>
      </c>
      <c r="O14" s="77">
        <v>0</v>
      </c>
    </row>
    <row r="15" spans="1:15" x14ac:dyDescent="0.3">
      <c r="A15" t="s">
        <v>139</v>
      </c>
      <c r="B15" s="20" t="s">
        <v>127</v>
      </c>
      <c r="C15" s="41">
        <v>19.962800000000001</v>
      </c>
      <c r="D15" s="78">
        <v>0.27276299999999998</v>
      </c>
      <c r="E15" s="79">
        <v>6.7169999999999994E-2</v>
      </c>
      <c r="F15" s="80">
        <v>0.40709600000000001</v>
      </c>
      <c r="G15" s="80">
        <v>3.2838189999999998</v>
      </c>
      <c r="H15" s="80">
        <v>0.22643199999999999</v>
      </c>
      <c r="I15" s="80">
        <v>9.7086000000000006E-2</v>
      </c>
      <c r="J15" s="78">
        <v>0.99192599999999997</v>
      </c>
      <c r="K15" s="80">
        <v>16.629522999999999</v>
      </c>
      <c r="L15" s="80">
        <v>26.581211</v>
      </c>
      <c r="M15" s="80">
        <v>0</v>
      </c>
      <c r="N15" s="80">
        <v>0</v>
      </c>
      <c r="O15" s="81">
        <v>0</v>
      </c>
    </row>
    <row r="16" spans="1:15" x14ac:dyDescent="0.3">
      <c r="A16" t="s">
        <v>139</v>
      </c>
      <c r="B16" s="28" t="s">
        <v>128</v>
      </c>
      <c r="C16" s="42">
        <v>158.50299999999999</v>
      </c>
      <c r="D16" s="74">
        <v>0.48282199999999997</v>
      </c>
      <c r="E16" s="75">
        <v>0.33168999999999998</v>
      </c>
      <c r="F16" s="76">
        <v>0.19026299999999999</v>
      </c>
      <c r="G16" s="76">
        <v>1.0926400000000001</v>
      </c>
      <c r="H16" s="76">
        <v>1.805488</v>
      </c>
      <c r="I16" s="76">
        <v>1.1357619999999999</v>
      </c>
      <c r="J16" s="74">
        <v>2.8799350000000001</v>
      </c>
      <c r="K16" s="76">
        <v>18.275846000000001</v>
      </c>
      <c r="L16" s="76">
        <v>23.072713</v>
      </c>
      <c r="M16" s="76">
        <v>19.086158000000001</v>
      </c>
      <c r="N16" s="76">
        <v>24.357901999999999</v>
      </c>
      <c r="O16" s="77">
        <v>19.285018000000001</v>
      </c>
    </row>
    <row r="17" spans="1:15" x14ac:dyDescent="0.3">
      <c r="A17" t="s">
        <v>139</v>
      </c>
      <c r="B17" s="20" t="s">
        <v>129</v>
      </c>
      <c r="C17" s="41">
        <v>32.808700000000002</v>
      </c>
      <c r="D17" s="74">
        <v>0.50402000000000002</v>
      </c>
      <c r="E17" s="75">
        <v>2.1027000000000001E-2</v>
      </c>
      <c r="F17" s="76">
        <v>0.68805700000000003</v>
      </c>
      <c r="G17" s="76">
        <v>1.162836</v>
      </c>
      <c r="H17" s="76">
        <v>3.0378690000000002</v>
      </c>
      <c r="I17" s="76">
        <v>0.94978499999999999</v>
      </c>
      <c r="J17" s="74">
        <v>7.7784000000000006E-2</v>
      </c>
      <c r="K17" s="76">
        <v>14.900385999999999</v>
      </c>
      <c r="L17" s="76">
        <v>21.654299000000002</v>
      </c>
      <c r="M17" s="76">
        <v>15.321764</v>
      </c>
      <c r="N17" s="76">
        <v>19.437749</v>
      </c>
      <c r="O17" s="77">
        <v>0</v>
      </c>
    </row>
    <row r="18" spans="1:15" x14ac:dyDescent="0.3">
      <c r="A18" t="s">
        <v>139</v>
      </c>
      <c r="B18" s="20" t="s">
        <v>130</v>
      </c>
      <c r="C18" s="41">
        <v>38.2044</v>
      </c>
      <c r="D18" s="74">
        <v>0.19775300000000001</v>
      </c>
      <c r="E18" s="75">
        <v>0.29770799999999997</v>
      </c>
      <c r="F18" s="76">
        <v>0.61255999999999999</v>
      </c>
      <c r="G18" s="76">
        <v>1.475886</v>
      </c>
      <c r="H18" s="76">
        <v>4.6108349999999998</v>
      </c>
      <c r="I18" s="76">
        <v>1.113175</v>
      </c>
      <c r="J18" s="74">
        <v>2.097569</v>
      </c>
      <c r="K18" s="76">
        <v>16.739056999999999</v>
      </c>
      <c r="L18" s="76">
        <v>26.710705999999998</v>
      </c>
      <c r="M18" s="76">
        <v>20.313842999999999</v>
      </c>
      <c r="N18" s="76">
        <v>25.714272999999999</v>
      </c>
      <c r="O18" s="77">
        <v>0</v>
      </c>
    </row>
    <row r="19" spans="1:15" x14ac:dyDescent="0.3">
      <c r="A19" t="s">
        <v>139</v>
      </c>
      <c r="B19" s="20" t="s">
        <v>131</v>
      </c>
      <c r="C19" s="41">
        <v>41.101999999999997</v>
      </c>
      <c r="D19" s="74">
        <v>6.0787000000000001E-2</v>
      </c>
      <c r="E19" s="75">
        <v>4.1377999999999998E-2</v>
      </c>
      <c r="F19" s="76">
        <v>0.39018000000000003</v>
      </c>
      <c r="G19" s="76">
        <v>1.1971149999999999</v>
      </c>
      <c r="H19" s="76">
        <v>5.5683980000000002</v>
      </c>
      <c r="I19" s="76">
        <v>5.1551669999999996</v>
      </c>
      <c r="J19" s="74">
        <v>9.1918600000000001</v>
      </c>
      <c r="K19" s="76">
        <v>15.82253</v>
      </c>
      <c r="L19" s="76">
        <v>22.278048999999999</v>
      </c>
      <c r="M19" s="76">
        <v>18.255965</v>
      </c>
      <c r="N19" s="76">
        <v>23.877033000000001</v>
      </c>
      <c r="O19" s="77">
        <v>0</v>
      </c>
    </row>
    <row r="20" spans="1:15" x14ac:dyDescent="0.3">
      <c r="A20" t="s">
        <v>139</v>
      </c>
      <c r="B20" s="20" t="s">
        <v>132</v>
      </c>
      <c r="C20" s="41">
        <v>113.91200000000001</v>
      </c>
      <c r="D20" s="74">
        <v>0.79607300000000003</v>
      </c>
      <c r="E20" s="75">
        <v>1.392906</v>
      </c>
      <c r="F20" s="76">
        <v>1.282071</v>
      </c>
      <c r="G20" s="76">
        <v>4.2167919999999999</v>
      </c>
      <c r="H20" s="76">
        <v>0.23227100000000001</v>
      </c>
      <c r="I20" s="76">
        <v>3.672409</v>
      </c>
      <c r="J20" s="74">
        <v>10.083766000000001</v>
      </c>
      <c r="K20" s="76">
        <v>18.877675</v>
      </c>
      <c r="L20" s="76">
        <v>27.202817</v>
      </c>
      <c r="M20" s="76">
        <v>23.396615000000001</v>
      </c>
      <c r="N20" s="76">
        <v>29.452368</v>
      </c>
      <c r="O20" s="77">
        <v>18.67887</v>
      </c>
    </row>
    <row r="21" spans="1:15" x14ac:dyDescent="0.3">
      <c r="A21" t="s">
        <v>139</v>
      </c>
      <c r="B21" s="28" t="s">
        <v>172</v>
      </c>
      <c r="C21" s="42">
        <v>4629.2195000000002</v>
      </c>
      <c r="D21" s="74">
        <v>0.26558799999999999</v>
      </c>
      <c r="E21" s="75">
        <v>0.22562399999999999</v>
      </c>
      <c r="F21" s="76">
        <v>6.6267000000000006E-2</v>
      </c>
      <c r="G21" s="76">
        <v>1.3473679999999999</v>
      </c>
      <c r="H21" s="76">
        <v>3.5654840000000001</v>
      </c>
      <c r="I21" s="76">
        <v>0.99649699999999997</v>
      </c>
      <c r="J21" s="74">
        <v>4.4398860000000004</v>
      </c>
      <c r="K21" s="76">
        <v>16.475988000000001</v>
      </c>
      <c r="L21" s="76">
        <v>26.319747</v>
      </c>
      <c r="M21" s="76">
        <v>21.454235000000001</v>
      </c>
      <c r="N21" s="76">
        <v>26.044892000000001</v>
      </c>
      <c r="O21" s="77">
        <v>18.991085999999999</v>
      </c>
    </row>
    <row r="22" spans="1:15" x14ac:dyDescent="0.3">
      <c r="A22" t="s">
        <v>139</v>
      </c>
      <c r="B22" s="20" t="s">
        <v>133</v>
      </c>
      <c r="C22" s="41">
        <v>74.34</v>
      </c>
      <c r="D22" s="74">
        <v>0.33516600000000002</v>
      </c>
      <c r="E22" s="75">
        <v>0.37807200000000002</v>
      </c>
      <c r="F22" s="76">
        <v>0.13433600000000001</v>
      </c>
      <c r="G22" s="76">
        <v>2.2742209999999998</v>
      </c>
      <c r="H22" s="76">
        <v>0.120919</v>
      </c>
      <c r="I22" s="76">
        <v>1.7186669999999999</v>
      </c>
      <c r="J22" s="74">
        <v>1.377335</v>
      </c>
      <c r="K22" s="76">
        <v>11.74043</v>
      </c>
      <c r="L22" s="76">
        <v>15.256043</v>
      </c>
      <c r="M22" s="76">
        <v>11.978918999999999</v>
      </c>
      <c r="N22" s="76">
        <v>21.054981000000002</v>
      </c>
      <c r="O22" s="77">
        <v>16.858837000000001</v>
      </c>
    </row>
    <row r="23" spans="1:15" x14ac:dyDescent="0.3">
      <c r="A23" t="s">
        <v>139</v>
      </c>
      <c r="B23" s="20" t="s">
        <v>134</v>
      </c>
      <c r="C23" s="41">
        <v>236.98480000000001</v>
      </c>
      <c r="D23" s="74">
        <v>0.28116600000000003</v>
      </c>
      <c r="E23" s="75">
        <v>9.1579999999999995E-3</v>
      </c>
      <c r="F23" s="76">
        <v>0.47360000000000002</v>
      </c>
      <c r="G23" s="76">
        <v>1.506343</v>
      </c>
      <c r="H23" s="76">
        <v>3.1521309999999998</v>
      </c>
      <c r="I23" s="76">
        <v>3.7907649999999999</v>
      </c>
      <c r="J23" s="74">
        <v>2.876595</v>
      </c>
      <c r="K23" s="76">
        <v>8.5041510000000002</v>
      </c>
      <c r="L23" s="76">
        <v>17.564463</v>
      </c>
      <c r="M23" s="76">
        <v>17.846074999999999</v>
      </c>
      <c r="N23" s="76">
        <v>24.181507</v>
      </c>
      <c r="O23" s="77">
        <v>18.052859000000002</v>
      </c>
    </row>
    <row r="24" spans="1:15" x14ac:dyDescent="0.3">
      <c r="A24" t="s">
        <v>139</v>
      </c>
      <c r="B24" s="20" t="s">
        <v>135</v>
      </c>
      <c r="C24" s="41">
        <v>263.19510000000002</v>
      </c>
      <c r="D24" s="74">
        <v>0.124126</v>
      </c>
      <c r="E24" s="75">
        <v>0.30587799999999998</v>
      </c>
      <c r="F24" s="76">
        <v>0.23230600000000001</v>
      </c>
      <c r="G24" s="76">
        <v>0.96139200000000002</v>
      </c>
      <c r="H24" s="76">
        <v>4.6023509999999996</v>
      </c>
      <c r="I24" s="76">
        <v>1.215055</v>
      </c>
      <c r="J24" s="74">
        <v>0.82384400000000002</v>
      </c>
      <c r="K24" s="76">
        <v>10.995257000000001</v>
      </c>
      <c r="L24" s="76">
        <v>18.74888</v>
      </c>
      <c r="M24" s="76">
        <v>15.182632999999999</v>
      </c>
      <c r="N24" s="76">
        <v>21.970141999999999</v>
      </c>
      <c r="O24" s="77">
        <v>15.470726000000001</v>
      </c>
    </row>
    <row r="25" spans="1:15" x14ac:dyDescent="0.3">
      <c r="A25" t="s">
        <v>139</v>
      </c>
      <c r="B25" s="52" t="s">
        <v>173</v>
      </c>
      <c r="C25" s="53">
        <v>1567.4290000000001</v>
      </c>
      <c r="D25" s="82">
        <v>0.42753600000000003</v>
      </c>
      <c r="E25" s="83">
        <v>0.15409400000000001</v>
      </c>
      <c r="F25" s="84">
        <v>0.284912</v>
      </c>
      <c r="G25" s="84">
        <v>1.0194479999999999</v>
      </c>
      <c r="H25" s="84">
        <v>5.567914</v>
      </c>
      <c r="I25" s="85">
        <v>3.8848120000000002</v>
      </c>
      <c r="J25" s="82">
        <v>4.9328010000000004</v>
      </c>
      <c r="K25" s="84">
        <v>18.894926000000002</v>
      </c>
      <c r="L25" s="84">
        <v>25.670677999999999</v>
      </c>
      <c r="M25" s="84">
        <v>20.968707999999999</v>
      </c>
      <c r="N25" s="84">
        <v>24.152505000000001</v>
      </c>
      <c r="O25" s="85">
        <v>16.075203999999999</v>
      </c>
    </row>
    <row r="26" spans="1:15" x14ac:dyDescent="0.3">
      <c r="A26" t="s">
        <v>139</v>
      </c>
      <c r="B26" s="52" t="s">
        <v>136</v>
      </c>
      <c r="C26" s="53">
        <v>512.44680000000005</v>
      </c>
      <c r="D26" s="82">
        <v>0.26975700000000002</v>
      </c>
      <c r="E26" s="83">
        <v>6.4239000000000004E-2</v>
      </c>
      <c r="F26" s="84">
        <v>0.51415599999999995</v>
      </c>
      <c r="G26" s="84">
        <v>0.59738899999999995</v>
      </c>
      <c r="H26" s="84">
        <v>6.2988780000000002</v>
      </c>
      <c r="I26" s="85">
        <v>4.5559719999999997</v>
      </c>
      <c r="J26" s="82">
        <v>7.0839020000000001</v>
      </c>
      <c r="K26" s="84">
        <v>15.69955</v>
      </c>
      <c r="L26" s="84">
        <v>24.035442</v>
      </c>
      <c r="M26" s="84">
        <v>18.302941000000001</v>
      </c>
      <c r="N26" s="84">
        <v>22.480452</v>
      </c>
      <c r="O26" s="85">
        <v>17.126573</v>
      </c>
    </row>
    <row r="27" spans="1:15" x14ac:dyDescent="0.3">
      <c r="A27" t="s">
        <v>139</v>
      </c>
      <c r="B27" s="52" t="s">
        <v>174</v>
      </c>
      <c r="C27" s="53">
        <v>127.3</v>
      </c>
      <c r="D27" s="82">
        <v>0.31323400000000001</v>
      </c>
      <c r="E27" s="83">
        <v>0.55464400000000003</v>
      </c>
      <c r="F27" s="84">
        <v>0.75621700000000003</v>
      </c>
      <c r="G27" s="84">
        <v>2.4221979999999999</v>
      </c>
      <c r="H27" s="84">
        <v>1.3212349999999999</v>
      </c>
      <c r="I27" s="85">
        <v>2.1822650000000001</v>
      </c>
      <c r="J27" s="82">
        <v>1.4019440000000001</v>
      </c>
      <c r="K27" s="84">
        <v>7.2356629999999997</v>
      </c>
      <c r="L27" s="84">
        <v>17.129726999999999</v>
      </c>
      <c r="M27" s="84">
        <v>14.563426</v>
      </c>
      <c r="N27" s="84">
        <v>17.759847000000001</v>
      </c>
      <c r="O27" s="85">
        <v>15.289258999999999</v>
      </c>
    </row>
    <row r="28" spans="1:15" x14ac:dyDescent="0.3">
      <c r="A28" t="s">
        <v>139</v>
      </c>
      <c r="B28" s="52" t="s">
        <v>137</v>
      </c>
      <c r="C28" s="53">
        <v>52.41</v>
      </c>
      <c r="D28" s="82">
        <v>0.56915199999999999</v>
      </c>
      <c r="E28" s="83">
        <v>0.474744</v>
      </c>
      <c r="F28" s="84">
        <v>0.133741</v>
      </c>
      <c r="G28" s="84">
        <v>1.2994349999999999</v>
      </c>
      <c r="H28" s="84">
        <v>3.4952610000000002</v>
      </c>
      <c r="I28" s="85">
        <v>2.3632810000000002</v>
      </c>
      <c r="J28" s="82">
        <v>3.7616309999999999</v>
      </c>
      <c r="K28" s="84">
        <v>16.63213</v>
      </c>
      <c r="L28" s="84">
        <v>22.153414000000001</v>
      </c>
      <c r="M28" s="84">
        <v>16.563396000000001</v>
      </c>
      <c r="N28" s="84">
        <v>22.945542</v>
      </c>
      <c r="O28" s="85">
        <v>0</v>
      </c>
    </row>
    <row r="29" spans="1:15" x14ac:dyDescent="0.3">
      <c r="A29" t="s">
        <v>139</v>
      </c>
      <c r="B29" s="52" t="s">
        <v>175</v>
      </c>
      <c r="C29" s="53">
        <v>337.6216</v>
      </c>
      <c r="D29" s="82">
        <v>0.439882</v>
      </c>
      <c r="E29" s="83">
        <v>0.41298200000000002</v>
      </c>
      <c r="F29" s="84">
        <v>0.20044400000000001</v>
      </c>
      <c r="G29" s="84">
        <v>1.73953</v>
      </c>
      <c r="H29" s="84">
        <v>3.003476</v>
      </c>
      <c r="I29" s="85">
        <v>0.79835199999999995</v>
      </c>
      <c r="J29" s="82">
        <v>0.51103699999999996</v>
      </c>
      <c r="K29" s="84">
        <v>12.33445</v>
      </c>
      <c r="L29" s="84">
        <v>18.367756</v>
      </c>
      <c r="M29" s="84">
        <v>14.155561000000001</v>
      </c>
      <c r="N29" s="84">
        <v>19.314682999999999</v>
      </c>
      <c r="O29" s="85">
        <v>15.264037999999999</v>
      </c>
    </row>
    <row r="30" spans="1:15" x14ac:dyDescent="0.3">
      <c r="A30" t="s">
        <v>139</v>
      </c>
      <c r="B30" s="52" t="s">
        <v>138</v>
      </c>
      <c r="C30" s="53">
        <v>21.088999999999999</v>
      </c>
      <c r="D30" s="82">
        <v>0.59391899999999997</v>
      </c>
      <c r="E30" s="83">
        <v>0.29313</v>
      </c>
      <c r="F30" s="84">
        <v>0.24124899999999999</v>
      </c>
      <c r="G30" s="84">
        <v>2.3069440000000001</v>
      </c>
      <c r="H30" s="84">
        <v>5.7198719999999996</v>
      </c>
      <c r="I30" s="85">
        <v>5.2135300000000004</v>
      </c>
      <c r="J30" s="82">
        <v>6.9530380000000003</v>
      </c>
      <c r="K30" s="84">
        <v>20.679314000000002</v>
      </c>
      <c r="L30" s="84">
        <v>28.428474999999999</v>
      </c>
      <c r="M30" s="84">
        <v>0</v>
      </c>
      <c r="N30" s="84">
        <v>0</v>
      </c>
      <c r="O30" s="85">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7A068-1081-4720-87A2-71E5930263DA}">
  <dimension ref="A1:O29"/>
  <sheetViews>
    <sheetView topLeftCell="B3" workbookViewId="0">
      <selection activeCell="L2" sqref="A2:O29"/>
    </sheetView>
  </sheetViews>
  <sheetFormatPr defaultRowHeight="14.4" x14ac:dyDescent="0.3"/>
  <cols>
    <col min="1" max="1" width="12.33203125" customWidth="1"/>
    <col min="2" max="2" width="54.5546875" customWidth="1"/>
    <col min="3" max="3" width="11.88671875" customWidth="1"/>
    <col min="4" max="5" width="9.109375" customWidth="1"/>
    <col min="6" max="6" width="10" customWidth="1"/>
    <col min="7" max="7" width="9.21875" customWidth="1"/>
    <col min="8" max="9" width="10.5546875" customWidth="1"/>
    <col min="10" max="10" width="9.109375" customWidth="1"/>
    <col min="11" max="14" width="9.21875" customWidth="1"/>
    <col min="15" max="15" width="9.88671875" customWidth="1"/>
  </cols>
  <sheetData>
    <row r="1" spans="1:15" ht="15" thickBot="1" x14ac:dyDescent="0.35">
      <c r="A1" s="1" t="s">
        <v>0</v>
      </c>
      <c r="B1" s="15" t="s">
        <v>1</v>
      </c>
      <c r="C1" s="16" t="s">
        <v>2</v>
      </c>
      <c r="D1" s="46" t="s">
        <v>3</v>
      </c>
      <c r="E1" s="47" t="s">
        <v>4</v>
      </c>
      <c r="F1" s="47" t="s">
        <v>5</v>
      </c>
      <c r="G1" s="47" t="s">
        <v>6</v>
      </c>
      <c r="H1" s="47" t="s">
        <v>7</v>
      </c>
      <c r="I1" s="48" t="s">
        <v>8</v>
      </c>
      <c r="J1" s="49" t="s">
        <v>9</v>
      </c>
      <c r="K1" s="50" t="s">
        <v>10</v>
      </c>
      <c r="L1" s="65" t="s">
        <v>11</v>
      </c>
      <c r="M1" s="50" t="s">
        <v>12</v>
      </c>
      <c r="N1" s="50" t="s">
        <v>13</v>
      </c>
      <c r="O1" s="50" t="s">
        <v>14</v>
      </c>
    </row>
    <row r="2" spans="1:15" x14ac:dyDescent="0.3">
      <c r="A2" t="s">
        <v>165</v>
      </c>
      <c r="B2" s="17" t="s">
        <v>140</v>
      </c>
      <c r="C2" s="40">
        <v>96.750399999999999</v>
      </c>
      <c r="D2" s="18">
        <v>0.170767</v>
      </c>
      <c r="E2" s="51">
        <v>8.4619E-2</v>
      </c>
      <c r="F2" s="19">
        <v>0.204541</v>
      </c>
      <c r="G2" s="19">
        <v>2.627389</v>
      </c>
      <c r="H2" s="19">
        <v>2.1294559999999998</v>
      </c>
      <c r="I2" s="19">
        <v>1.893573</v>
      </c>
      <c r="J2" s="56">
        <v>2.324614</v>
      </c>
      <c r="K2" s="57">
        <v>9.739331</v>
      </c>
      <c r="L2" s="57">
        <v>19.782720999999999</v>
      </c>
      <c r="M2" s="57">
        <v>13.0063</v>
      </c>
      <c r="N2" s="57">
        <v>19.710370999999999</v>
      </c>
      <c r="O2" s="58">
        <v>13.948772999999999</v>
      </c>
    </row>
    <row r="3" spans="1:15" x14ac:dyDescent="0.3">
      <c r="A3" t="s">
        <v>165</v>
      </c>
      <c r="B3" s="20" t="s">
        <v>141</v>
      </c>
      <c r="C3" s="41">
        <v>121.94</v>
      </c>
      <c r="D3" s="21">
        <v>0.22909499999999999</v>
      </c>
      <c r="E3" s="23">
        <v>0.64377700000000004</v>
      </c>
      <c r="F3" s="22">
        <v>0.296101</v>
      </c>
      <c r="G3" s="22">
        <v>1.851256</v>
      </c>
      <c r="H3" s="22">
        <v>0.66870300000000005</v>
      </c>
      <c r="I3" s="22">
        <v>1.6692199999999999</v>
      </c>
      <c r="J3" s="59">
        <v>0.114679</v>
      </c>
      <c r="K3" s="60">
        <v>12.530426</v>
      </c>
      <c r="L3" s="60">
        <v>19.987717</v>
      </c>
      <c r="M3" s="60">
        <v>16.275659999999998</v>
      </c>
      <c r="N3" s="60">
        <v>23.663388999999999</v>
      </c>
      <c r="O3" s="61">
        <v>19.36045</v>
      </c>
    </row>
    <row r="4" spans="1:15" x14ac:dyDescent="0.3">
      <c r="A4" t="s">
        <v>165</v>
      </c>
      <c r="B4" s="20" t="s">
        <v>142</v>
      </c>
      <c r="C4" s="41">
        <v>50.924999999999997</v>
      </c>
      <c r="D4" s="21">
        <v>0.23508699999999999</v>
      </c>
      <c r="E4" s="23">
        <v>0.65621700000000005</v>
      </c>
      <c r="F4" s="22">
        <v>0.445768</v>
      </c>
      <c r="G4" s="22">
        <v>1.7157519999999999</v>
      </c>
      <c r="H4" s="22">
        <v>1.2707310000000001</v>
      </c>
      <c r="I4" s="22">
        <v>9.8086999999999994E-2</v>
      </c>
      <c r="J4" s="59">
        <v>0.64825999999999995</v>
      </c>
      <c r="K4" s="60">
        <v>21.267568000000001</v>
      </c>
      <c r="L4" s="60">
        <v>32.144193000000001</v>
      </c>
      <c r="M4" s="60">
        <v>22.628287</v>
      </c>
      <c r="N4" s="60">
        <v>27.817063999999998</v>
      </c>
      <c r="O4" s="61">
        <v>0</v>
      </c>
    </row>
    <row r="5" spans="1:15" x14ac:dyDescent="0.3">
      <c r="A5" t="s">
        <v>165</v>
      </c>
      <c r="B5" s="20" t="s">
        <v>143</v>
      </c>
      <c r="C5" s="41">
        <v>50.09</v>
      </c>
      <c r="D5" s="21">
        <v>0.45707500000000001</v>
      </c>
      <c r="E5" s="23">
        <v>0.60253100000000004</v>
      </c>
      <c r="F5" s="22">
        <v>0.360649</v>
      </c>
      <c r="G5" s="22">
        <v>3.6360139999999999</v>
      </c>
      <c r="H5" s="22">
        <v>1.7072210000000001</v>
      </c>
      <c r="I5" s="22">
        <v>3.7101109999999999</v>
      </c>
      <c r="J5" s="59">
        <v>8.2432680000000005</v>
      </c>
      <c r="K5" s="60">
        <v>10.617706</v>
      </c>
      <c r="L5" s="60">
        <v>21.187159000000001</v>
      </c>
      <c r="M5" s="60">
        <v>15.816504</v>
      </c>
      <c r="N5" s="60">
        <v>25.116077000000001</v>
      </c>
      <c r="O5" s="61">
        <v>0</v>
      </c>
    </row>
    <row r="6" spans="1:15" x14ac:dyDescent="0.3">
      <c r="A6" t="s">
        <v>165</v>
      </c>
      <c r="B6" s="20" t="s">
        <v>144</v>
      </c>
      <c r="C6" s="41">
        <v>13.238799999999999</v>
      </c>
      <c r="D6" s="21">
        <v>0.167408</v>
      </c>
      <c r="E6" s="23">
        <v>1.2868580000000001</v>
      </c>
      <c r="F6" s="22">
        <v>1.0965849999999999</v>
      </c>
      <c r="G6" s="22">
        <v>1.256778</v>
      </c>
      <c r="H6" s="22">
        <v>0.66686400000000001</v>
      </c>
      <c r="I6" s="22">
        <v>1.066398</v>
      </c>
      <c r="J6" s="59">
        <v>5.6252180000000003</v>
      </c>
      <c r="K6" s="60">
        <v>9.8147260000000003</v>
      </c>
      <c r="L6" s="60">
        <v>0</v>
      </c>
      <c r="M6" s="60">
        <v>0</v>
      </c>
      <c r="N6" s="60">
        <v>0</v>
      </c>
      <c r="O6" s="61">
        <v>0</v>
      </c>
    </row>
    <row r="7" spans="1:15" x14ac:dyDescent="0.3">
      <c r="A7" t="s">
        <v>165</v>
      </c>
      <c r="B7" s="20" t="s">
        <v>145</v>
      </c>
      <c r="C7" s="41">
        <v>42.62</v>
      </c>
      <c r="D7" s="21">
        <v>0.37400699999999998</v>
      </c>
      <c r="E7" s="23">
        <v>1.043148</v>
      </c>
      <c r="F7" s="22">
        <v>0.97133400000000003</v>
      </c>
      <c r="G7" s="22">
        <v>0.88372099999999998</v>
      </c>
      <c r="H7" s="22">
        <v>1.3796379999999999</v>
      </c>
      <c r="I7" s="22">
        <v>1.774602</v>
      </c>
      <c r="J7" s="59">
        <v>3.114344</v>
      </c>
      <c r="K7" s="60">
        <v>10.32691</v>
      </c>
      <c r="L7" s="60">
        <v>17.904499999999999</v>
      </c>
      <c r="M7" s="60">
        <v>15.838733</v>
      </c>
      <c r="N7" s="60">
        <v>25.558489000000002</v>
      </c>
      <c r="O7" s="61">
        <v>0</v>
      </c>
    </row>
    <row r="8" spans="1:15" x14ac:dyDescent="0.3">
      <c r="A8" t="s">
        <v>165</v>
      </c>
      <c r="B8" s="28" t="s">
        <v>146</v>
      </c>
      <c r="C8" s="42">
        <v>216.03100000000001</v>
      </c>
      <c r="D8" s="21">
        <v>0.571631</v>
      </c>
      <c r="E8" s="23">
        <v>0.49823200000000001</v>
      </c>
      <c r="F8" s="22">
        <v>0.86752300000000004</v>
      </c>
      <c r="G8" s="22">
        <v>0.73382099999999995</v>
      </c>
      <c r="H8" s="22">
        <v>1.666431</v>
      </c>
      <c r="I8" s="22">
        <v>1.444812</v>
      </c>
      <c r="J8" s="59">
        <v>1.4205270000000001</v>
      </c>
      <c r="K8" s="60">
        <v>12.026293000000001</v>
      </c>
      <c r="L8" s="60">
        <v>22.228338000000001</v>
      </c>
      <c r="M8" s="60">
        <v>16.730824999999999</v>
      </c>
      <c r="N8" s="60">
        <v>24.085556</v>
      </c>
      <c r="O8" s="61">
        <v>17.085705000000001</v>
      </c>
    </row>
    <row r="9" spans="1:15" x14ac:dyDescent="0.3">
      <c r="A9" t="s">
        <v>165</v>
      </c>
      <c r="B9" s="24" t="s">
        <v>147</v>
      </c>
      <c r="C9" s="43">
        <v>48.692</v>
      </c>
      <c r="D9" s="25">
        <v>0.13536200000000001</v>
      </c>
      <c r="E9" s="27">
        <v>0.97047099999999997</v>
      </c>
      <c r="F9" s="26">
        <v>1.357202</v>
      </c>
      <c r="G9" s="26">
        <v>0.95199299999999998</v>
      </c>
      <c r="H9" s="26">
        <v>2.1524779999999999</v>
      </c>
      <c r="I9" s="26">
        <v>0.60423000000000004</v>
      </c>
      <c r="J9" s="62">
        <v>0.74807900000000005</v>
      </c>
      <c r="K9" s="63">
        <v>12.400017</v>
      </c>
      <c r="L9" s="63">
        <v>22.503595000000001</v>
      </c>
      <c r="M9" s="63">
        <v>17.646512999999999</v>
      </c>
      <c r="N9" s="63">
        <v>26.506751999999999</v>
      </c>
      <c r="O9" s="64">
        <v>0</v>
      </c>
    </row>
    <row r="10" spans="1:15" x14ac:dyDescent="0.3">
      <c r="A10" t="s">
        <v>165</v>
      </c>
      <c r="B10" s="20" t="s">
        <v>148</v>
      </c>
      <c r="C10" s="41">
        <v>187.38579999999999</v>
      </c>
      <c r="D10" s="21">
        <v>8.8401999999999994E-2</v>
      </c>
      <c r="E10" s="23">
        <v>0.392762</v>
      </c>
      <c r="F10" s="22">
        <v>0.48923800000000001</v>
      </c>
      <c r="G10" s="22">
        <v>2.7398910000000001</v>
      </c>
      <c r="H10" s="22">
        <v>0.30846099999999999</v>
      </c>
      <c r="I10" s="22">
        <v>4.8181219999999998</v>
      </c>
      <c r="J10" s="59">
        <v>6.9909949999999998</v>
      </c>
      <c r="K10" s="60">
        <v>7.6111510000000004</v>
      </c>
      <c r="L10" s="60">
        <v>21.617048</v>
      </c>
      <c r="M10" s="60">
        <v>17.619700000000002</v>
      </c>
      <c r="N10" s="60">
        <v>24.429846999999999</v>
      </c>
      <c r="O10" s="61">
        <v>16.430429</v>
      </c>
    </row>
    <row r="11" spans="1:15" x14ac:dyDescent="0.3">
      <c r="A11" t="s">
        <v>165</v>
      </c>
      <c r="B11" s="24" t="s">
        <v>176</v>
      </c>
      <c r="C11" s="43">
        <v>157.66800000000001</v>
      </c>
      <c r="D11" s="21">
        <v>0.618973</v>
      </c>
      <c r="E11" s="23">
        <v>4.1243000000000002E-2</v>
      </c>
      <c r="F11" s="22">
        <v>0.16644900000000001</v>
      </c>
      <c r="G11" s="22">
        <v>2.2426140000000001</v>
      </c>
      <c r="H11" s="22">
        <v>1.430393</v>
      </c>
      <c r="I11" s="22">
        <v>0.155781</v>
      </c>
      <c r="J11" s="59">
        <v>0.65435399999999999</v>
      </c>
      <c r="K11" s="60">
        <v>10.994194</v>
      </c>
      <c r="L11" s="60">
        <v>22.359446999999999</v>
      </c>
      <c r="M11" s="60">
        <v>17.873162000000001</v>
      </c>
      <c r="N11" s="60">
        <v>26.20074</v>
      </c>
      <c r="O11" s="61">
        <v>18.881703000000002</v>
      </c>
    </row>
    <row r="12" spans="1:15" x14ac:dyDescent="0.3">
      <c r="A12" t="s">
        <v>165</v>
      </c>
      <c r="B12" s="20" t="s">
        <v>149</v>
      </c>
      <c r="C12" s="41">
        <v>87.302599999999998</v>
      </c>
      <c r="D12" s="21">
        <v>0.207923</v>
      </c>
      <c r="E12" s="23">
        <v>0.76744900000000005</v>
      </c>
      <c r="F12" s="22">
        <v>0.63665499999999997</v>
      </c>
      <c r="G12" s="22">
        <v>1.9057580000000001</v>
      </c>
      <c r="H12" s="22">
        <v>1.008257</v>
      </c>
      <c r="I12" s="22">
        <v>5.4259820000000003</v>
      </c>
      <c r="J12" s="59">
        <v>10.992642</v>
      </c>
      <c r="K12" s="60">
        <v>8.1478459999999995</v>
      </c>
      <c r="L12" s="60">
        <v>20.424726</v>
      </c>
      <c r="M12" s="60">
        <v>16.018321</v>
      </c>
      <c r="N12" s="60">
        <v>26.080207000000001</v>
      </c>
      <c r="O12" s="61">
        <v>18.722487999999998</v>
      </c>
    </row>
    <row r="13" spans="1:15" x14ac:dyDescent="0.3">
      <c r="A13" t="s">
        <v>165</v>
      </c>
      <c r="B13" s="20" t="s">
        <v>150</v>
      </c>
      <c r="C13" s="41">
        <v>96.48</v>
      </c>
      <c r="D13" s="21">
        <v>0.41288200000000003</v>
      </c>
      <c r="E13" s="23">
        <v>0.301487</v>
      </c>
      <c r="F13" s="22">
        <v>0.18622</v>
      </c>
      <c r="G13" s="22">
        <v>1.0664480000000001</v>
      </c>
      <c r="H13" s="22">
        <v>1.2992330000000001</v>
      </c>
      <c r="I13" s="22">
        <v>1.95122</v>
      </c>
      <c r="J13" s="59">
        <v>0.38497599999999998</v>
      </c>
      <c r="K13" s="60">
        <v>8.8832789999999999</v>
      </c>
      <c r="L13" s="60">
        <v>18.441341000000001</v>
      </c>
      <c r="M13" s="60">
        <v>15.635541</v>
      </c>
      <c r="N13" s="60">
        <v>23.868486999999998</v>
      </c>
      <c r="O13" s="61">
        <v>16.934405999999999</v>
      </c>
    </row>
    <row r="14" spans="1:15" x14ac:dyDescent="0.3">
      <c r="A14" t="s">
        <v>165</v>
      </c>
      <c r="B14" s="20" t="s">
        <v>151</v>
      </c>
      <c r="C14" s="41">
        <v>46.6</v>
      </c>
      <c r="D14" s="21">
        <v>0.21413299999999999</v>
      </c>
      <c r="E14" s="23">
        <v>0</v>
      </c>
      <c r="F14" s="22">
        <v>8.5911000000000001E-2</v>
      </c>
      <c r="G14" s="22">
        <v>2.2240869999999999</v>
      </c>
      <c r="H14" s="22">
        <v>2.9151940000000001</v>
      </c>
      <c r="I14" s="22">
        <v>0.21413299999999999</v>
      </c>
      <c r="J14" s="59">
        <v>0.87215500000000001</v>
      </c>
      <c r="K14" s="60">
        <v>17.736241</v>
      </c>
      <c r="L14" s="60">
        <v>26.992428</v>
      </c>
      <c r="M14" s="60">
        <v>20.380780000000001</v>
      </c>
      <c r="N14" s="60">
        <v>27.783429000000002</v>
      </c>
      <c r="O14" s="61">
        <v>0</v>
      </c>
    </row>
    <row r="15" spans="1:15" x14ac:dyDescent="0.3">
      <c r="A15" t="s">
        <v>165</v>
      </c>
      <c r="B15" s="20" t="s">
        <v>152</v>
      </c>
      <c r="C15" s="41">
        <v>31.354600000000001</v>
      </c>
      <c r="D15" s="21">
        <v>3.0627000000000001E-2</v>
      </c>
      <c r="E15" s="23">
        <v>1.2359629999999999</v>
      </c>
      <c r="F15" s="22">
        <v>1.513577</v>
      </c>
      <c r="G15" s="22">
        <v>2.028203</v>
      </c>
      <c r="H15" s="22">
        <v>1.4094979999999999</v>
      </c>
      <c r="I15" s="22">
        <v>1.40621</v>
      </c>
      <c r="J15" s="59">
        <v>2.400563</v>
      </c>
      <c r="K15" s="60">
        <v>15.765461</v>
      </c>
      <c r="L15" s="60">
        <v>28.105792999999998</v>
      </c>
      <c r="M15" s="60">
        <v>19.457125000000001</v>
      </c>
      <c r="N15" s="60">
        <v>22.554874000000002</v>
      </c>
      <c r="O15" s="61">
        <v>0</v>
      </c>
    </row>
    <row r="16" spans="1:15" x14ac:dyDescent="0.3">
      <c r="A16" t="s">
        <v>165</v>
      </c>
      <c r="B16" s="20" t="s">
        <v>153</v>
      </c>
      <c r="C16" s="41">
        <v>9.9265000000000008</v>
      </c>
      <c r="D16" s="21">
        <v>0.69527799999999995</v>
      </c>
      <c r="E16" s="23">
        <v>0.213115</v>
      </c>
      <c r="F16" s="22">
        <v>1.0151269999999999</v>
      </c>
      <c r="G16" s="22">
        <v>4.8839620000000004</v>
      </c>
      <c r="H16" s="22">
        <v>1.7732570000000001</v>
      </c>
      <c r="I16" s="22">
        <v>4.3745060000000002</v>
      </c>
      <c r="J16" s="59">
        <v>7.1291580000000003</v>
      </c>
      <c r="K16" s="60">
        <v>0</v>
      </c>
      <c r="L16" s="60">
        <v>0</v>
      </c>
      <c r="M16" s="60">
        <v>0</v>
      </c>
      <c r="N16" s="60">
        <v>0</v>
      </c>
      <c r="O16" s="61">
        <v>0</v>
      </c>
    </row>
    <row r="17" spans="1:15" x14ac:dyDescent="0.3">
      <c r="A17" t="s">
        <v>165</v>
      </c>
      <c r="B17" s="28" t="s">
        <v>154</v>
      </c>
      <c r="C17" s="42">
        <v>294.24400000000003</v>
      </c>
      <c r="D17" s="21">
        <v>0.26911800000000002</v>
      </c>
      <c r="E17" s="23">
        <v>0.37455699999999997</v>
      </c>
      <c r="F17" s="22">
        <v>9.6765000000000004E-2</v>
      </c>
      <c r="G17" s="22">
        <v>1.5521119999999999</v>
      </c>
      <c r="H17" s="22">
        <v>1.808692</v>
      </c>
      <c r="I17" s="22">
        <v>5.1339920000000001</v>
      </c>
      <c r="J17" s="59">
        <v>8.2485959999999992</v>
      </c>
      <c r="K17" s="60">
        <v>8.3658040000000007</v>
      </c>
      <c r="L17" s="60">
        <v>17.213574999999999</v>
      </c>
      <c r="M17" s="60">
        <v>12.56011</v>
      </c>
      <c r="N17" s="60">
        <v>22.618656999999999</v>
      </c>
      <c r="O17" s="61">
        <v>18.270993000000001</v>
      </c>
    </row>
    <row r="18" spans="1:15" x14ac:dyDescent="0.3">
      <c r="A18" t="s">
        <v>165</v>
      </c>
      <c r="B18" s="24" t="s">
        <v>155</v>
      </c>
      <c r="C18" s="43">
        <v>33.072800000000001</v>
      </c>
      <c r="D18" s="25">
        <v>1.8140000000000001E-3</v>
      </c>
      <c r="E18" s="27">
        <v>1.1818329999999999</v>
      </c>
      <c r="F18" s="26">
        <v>1.5269189999999999</v>
      </c>
      <c r="G18" s="26">
        <v>1.4476169999999999</v>
      </c>
      <c r="H18" s="26">
        <v>1.9295150000000001</v>
      </c>
      <c r="I18" s="26">
        <v>2.3900169999999998</v>
      </c>
      <c r="J18" s="62">
        <v>12.219488</v>
      </c>
      <c r="K18" s="63">
        <v>11.571202</v>
      </c>
      <c r="L18" s="63">
        <v>19.128779999999999</v>
      </c>
      <c r="M18" s="63">
        <v>15.537575</v>
      </c>
      <c r="N18" s="63">
        <v>24.006703999999999</v>
      </c>
      <c r="O18" s="64">
        <v>0</v>
      </c>
    </row>
    <row r="19" spans="1:15" x14ac:dyDescent="0.3">
      <c r="A19" t="s">
        <v>165</v>
      </c>
      <c r="B19" s="20" t="s">
        <v>156</v>
      </c>
      <c r="C19" s="41">
        <v>20.330200000000001</v>
      </c>
      <c r="D19" s="25">
        <v>0.28545599999999999</v>
      </c>
      <c r="E19" s="27">
        <v>0.65900599999999998</v>
      </c>
      <c r="F19" s="26">
        <v>0.83474300000000001</v>
      </c>
      <c r="G19" s="26">
        <v>1.3092299999999999</v>
      </c>
      <c r="H19" s="26">
        <v>2.290829</v>
      </c>
      <c r="I19" s="26">
        <v>1.402058</v>
      </c>
      <c r="J19" s="62">
        <v>0.813778</v>
      </c>
      <c r="K19" s="63">
        <v>13.773147</v>
      </c>
      <c r="L19" s="63">
        <v>27.639212000000001</v>
      </c>
      <c r="M19" s="63">
        <v>0</v>
      </c>
      <c r="N19" s="63">
        <v>0</v>
      </c>
      <c r="O19" s="64">
        <v>0</v>
      </c>
    </row>
    <row r="20" spans="1:15" x14ac:dyDescent="0.3">
      <c r="A20" t="s">
        <v>165</v>
      </c>
      <c r="B20" s="24" t="s">
        <v>157</v>
      </c>
      <c r="C20" s="43">
        <v>14.348800000000001</v>
      </c>
      <c r="D20" s="25">
        <v>0.16559299999999999</v>
      </c>
      <c r="E20" s="27">
        <v>1.054292</v>
      </c>
      <c r="F20" s="26">
        <v>0.68344199999999999</v>
      </c>
      <c r="G20" s="26">
        <v>2.5217390000000002</v>
      </c>
      <c r="H20" s="26">
        <v>1.405664</v>
      </c>
      <c r="I20" s="26">
        <v>0.34125899999999998</v>
      </c>
      <c r="J20" s="62">
        <v>4.0599090000000002</v>
      </c>
      <c r="K20" s="63">
        <v>19.771685000000002</v>
      </c>
      <c r="L20" s="63">
        <v>0</v>
      </c>
      <c r="M20" s="63">
        <v>0</v>
      </c>
      <c r="N20" s="63">
        <v>0</v>
      </c>
      <c r="O20" s="64">
        <v>0</v>
      </c>
    </row>
    <row r="21" spans="1:15" x14ac:dyDescent="0.3">
      <c r="A21" t="s">
        <v>165</v>
      </c>
      <c r="B21" s="20" t="s">
        <v>177</v>
      </c>
      <c r="C21" s="41">
        <v>186.524</v>
      </c>
      <c r="D21" s="21">
        <v>0.14695</v>
      </c>
      <c r="E21" s="23">
        <v>0.66728699999999996</v>
      </c>
      <c r="F21" s="22">
        <v>0.37480999999999998</v>
      </c>
      <c r="G21" s="22">
        <v>1.9869140000000001</v>
      </c>
      <c r="H21" s="22">
        <v>3.6978999999999998E-2</v>
      </c>
      <c r="I21" s="22">
        <v>2.7121309999999998</v>
      </c>
      <c r="J21" s="59">
        <v>4.0305580000000001</v>
      </c>
      <c r="K21" s="60">
        <v>10.862572</v>
      </c>
      <c r="L21" s="60">
        <v>23.219843999999998</v>
      </c>
      <c r="M21" s="60">
        <v>19.551603</v>
      </c>
      <c r="N21" s="60">
        <v>28.728438000000001</v>
      </c>
      <c r="O21" s="61">
        <v>20.812000000000001</v>
      </c>
    </row>
    <row r="22" spans="1:15" x14ac:dyDescent="0.3">
      <c r="A22" t="s">
        <v>165</v>
      </c>
      <c r="B22" s="20" t="s">
        <v>158</v>
      </c>
      <c r="C22" s="41">
        <v>17.25</v>
      </c>
      <c r="D22" s="21">
        <v>0.28901700000000002</v>
      </c>
      <c r="E22" s="23">
        <v>0.58309</v>
      </c>
      <c r="F22" s="22">
        <v>0.46162700000000001</v>
      </c>
      <c r="G22" s="22">
        <v>2.0998860000000001</v>
      </c>
      <c r="H22" s="22">
        <v>0.17361099999999999</v>
      </c>
      <c r="I22" s="22">
        <v>0.81823500000000005</v>
      </c>
      <c r="J22" s="59">
        <v>1.590106</v>
      </c>
      <c r="K22" s="60">
        <v>11.43234</v>
      </c>
      <c r="L22" s="60">
        <v>16.35275</v>
      </c>
      <c r="M22" s="60">
        <v>11.626873</v>
      </c>
      <c r="N22" s="60">
        <v>0</v>
      </c>
      <c r="O22" s="61">
        <v>0</v>
      </c>
    </row>
    <row r="23" spans="1:15" x14ac:dyDescent="0.3">
      <c r="A23" t="s">
        <v>165</v>
      </c>
      <c r="B23" s="20" t="s">
        <v>159</v>
      </c>
      <c r="C23" s="41">
        <v>273.8732</v>
      </c>
      <c r="D23" s="21">
        <v>0.25167200000000001</v>
      </c>
      <c r="E23" s="23">
        <v>0.30827900000000003</v>
      </c>
      <c r="F23" s="22">
        <v>0.56717499999999998</v>
      </c>
      <c r="G23" s="22">
        <v>2.738435</v>
      </c>
      <c r="H23" s="22">
        <v>0.200457</v>
      </c>
      <c r="I23" s="22">
        <v>2.2002280000000001</v>
      </c>
      <c r="J23" s="59">
        <v>1.744872</v>
      </c>
      <c r="K23" s="60">
        <v>10.534587999999999</v>
      </c>
      <c r="L23" s="60">
        <v>22.961777999999999</v>
      </c>
      <c r="M23" s="60">
        <v>19.573651999999999</v>
      </c>
      <c r="N23" s="60">
        <v>31.227277000000001</v>
      </c>
      <c r="O23" s="61">
        <v>19.94725</v>
      </c>
    </row>
    <row r="24" spans="1:15" x14ac:dyDescent="0.3">
      <c r="A24" t="s">
        <v>165</v>
      </c>
      <c r="B24" s="20" t="s">
        <v>160</v>
      </c>
      <c r="C24" s="41">
        <v>12.98</v>
      </c>
      <c r="D24" s="21">
        <v>0.38373000000000002</v>
      </c>
      <c r="E24" s="23">
        <v>0.542215</v>
      </c>
      <c r="F24" s="22">
        <v>0.69821599999999995</v>
      </c>
      <c r="G24" s="22">
        <v>1.142422</v>
      </c>
      <c r="H24" s="22">
        <v>2.689873</v>
      </c>
      <c r="I24" s="22">
        <v>0.30911899999999998</v>
      </c>
      <c r="J24" s="59">
        <v>5.2716950000000002</v>
      </c>
      <c r="K24" s="60">
        <v>11.441513</v>
      </c>
      <c r="L24" s="60">
        <v>0</v>
      </c>
      <c r="M24" s="60">
        <v>0</v>
      </c>
      <c r="N24" s="60">
        <v>0</v>
      </c>
      <c r="O24" s="61">
        <v>0</v>
      </c>
    </row>
    <row r="25" spans="1:15" x14ac:dyDescent="0.3">
      <c r="A25" t="s">
        <v>165</v>
      </c>
      <c r="B25" s="20" t="s">
        <v>161</v>
      </c>
      <c r="C25" s="41">
        <v>192.59129999999999</v>
      </c>
      <c r="D25" s="21">
        <v>0.35879699999999998</v>
      </c>
      <c r="E25" s="23">
        <v>0.77209799999999995</v>
      </c>
      <c r="F25" s="22">
        <v>0.131851</v>
      </c>
      <c r="G25" s="22">
        <v>1.6666369999999999</v>
      </c>
      <c r="H25" s="22">
        <v>0.77590000000000003</v>
      </c>
      <c r="I25" s="22">
        <v>2.3512309999999998</v>
      </c>
      <c r="J25" s="59">
        <v>4.2649739999999996</v>
      </c>
      <c r="K25" s="60">
        <v>9.9384049999999995</v>
      </c>
      <c r="L25" s="60">
        <v>15.400762</v>
      </c>
      <c r="M25" s="60">
        <v>14.257913</v>
      </c>
      <c r="N25" s="60">
        <v>20.357475000000001</v>
      </c>
      <c r="O25" s="61">
        <v>18.694348999999999</v>
      </c>
    </row>
    <row r="26" spans="1:15" x14ac:dyDescent="0.3">
      <c r="A26" t="s">
        <v>165</v>
      </c>
      <c r="B26" s="20" t="s">
        <v>178</v>
      </c>
      <c r="C26" s="41">
        <v>287.84469999999999</v>
      </c>
      <c r="D26" s="21">
        <v>0.11167199999999999</v>
      </c>
      <c r="E26" s="23">
        <v>0.69203700000000001</v>
      </c>
      <c r="F26" s="22">
        <v>0.200021</v>
      </c>
      <c r="G26" s="22">
        <v>2.332592</v>
      </c>
      <c r="H26" s="22">
        <v>1.5954140000000001</v>
      </c>
      <c r="I26" s="22">
        <v>0.77265700000000004</v>
      </c>
      <c r="J26" s="59">
        <v>1.3586210000000001</v>
      </c>
      <c r="K26" s="60">
        <v>10.922758</v>
      </c>
      <c r="L26" s="60">
        <v>21.884678000000001</v>
      </c>
      <c r="M26" s="60">
        <v>16.365839000000001</v>
      </c>
      <c r="N26" s="60">
        <v>24.257794000000001</v>
      </c>
      <c r="O26" s="61">
        <v>14.513957</v>
      </c>
    </row>
    <row r="27" spans="1:15" x14ac:dyDescent="0.3">
      <c r="A27" t="s">
        <v>165</v>
      </c>
      <c r="B27" s="28" t="s">
        <v>162</v>
      </c>
      <c r="C27" s="42">
        <v>41.235199999999999</v>
      </c>
      <c r="D27" s="21">
        <v>0.67851899999999998</v>
      </c>
      <c r="E27" s="23">
        <v>0.193633</v>
      </c>
      <c r="F27" s="22">
        <v>0.51725500000000002</v>
      </c>
      <c r="G27" s="22">
        <v>2.844325</v>
      </c>
      <c r="H27" s="22">
        <v>7.2230030000000003</v>
      </c>
      <c r="I27" s="22">
        <v>8.699166</v>
      </c>
      <c r="J27" s="59">
        <v>11.178125</v>
      </c>
      <c r="K27" s="60">
        <v>8.6359239999999993</v>
      </c>
      <c r="L27" s="60">
        <v>17.692385000000002</v>
      </c>
      <c r="M27" s="60">
        <v>16.012270999999998</v>
      </c>
      <c r="N27" s="60">
        <v>25.911802000000002</v>
      </c>
      <c r="O27" s="61">
        <v>0</v>
      </c>
    </row>
    <row r="28" spans="1:15" x14ac:dyDescent="0.3">
      <c r="A28" t="s">
        <v>165</v>
      </c>
      <c r="B28" s="20" t="s">
        <v>163</v>
      </c>
      <c r="C28" s="41">
        <v>54.2</v>
      </c>
      <c r="D28" s="21">
        <v>0.27598899999999998</v>
      </c>
      <c r="E28" s="23">
        <v>0.85597299999999998</v>
      </c>
      <c r="F28" s="22">
        <v>1.384212</v>
      </c>
      <c r="G28" s="22">
        <v>2.4478040000000001</v>
      </c>
      <c r="H28" s="22">
        <v>0.64995400000000003</v>
      </c>
      <c r="I28" s="22">
        <v>1.8988529999999999</v>
      </c>
      <c r="J28" s="59">
        <v>3.1624080000000001</v>
      </c>
      <c r="K28" s="60">
        <v>10.144532999999999</v>
      </c>
      <c r="L28" s="60">
        <v>20.542763999999998</v>
      </c>
      <c r="M28" s="60">
        <v>15.553053</v>
      </c>
      <c r="N28" s="60">
        <v>23.289061</v>
      </c>
      <c r="O28" s="61">
        <v>15.770022000000001</v>
      </c>
    </row>
    <row r="29" spans="1:15" x14ac:dyDescent="0.3">
      <c r="A29" t="s">
        <v>165</v>
      </c>
      <c r="B29" s="20" t="s">
        <v>164</v>
      </c>
      <c r="C29" s="41">
        <v>27.3734</v>
      </c>
      <c r="D29" s="21">
        <v>0.44190000000000002</v>
      </c>
      <c r="E29" s="23">
        <v>0.1588</v>
      </c>
      <c r="F29" s="22">
        <v>0.37124099999999999</v>
      </c>
      <c r="G29" s="22">
        <v>2.9642390000000001</v>
      </c>
      <c r="H29" s="22">
        <v>7.3099999999999999E-4</v>
      </c>
      <c r="I29" s="22">
        <v>3.2129859999999999</v>
      </c>
      <c r="J29" s="59">
        <v>3.8716949999999999</v>
      </c>
      <c r="K29" s="60">
        <v>11.422836999999999</v>
      </c>
      <c r="L29" s="60">
        <v>19.813269999999999</v>
      </c>
      <c r="M29" s="60">
        <v>15.196529</v>
      </c>
      <c r="N29" s="60">
        <v>22.248486</v>
      </c>
      <c r="O29" s="61">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DA9FA-42E0-4292-ABF3-DD10A245BDDD}">
  <dimension ref="A1:O155"/>
  <sheetViews>
    <sheetView topLeftCell="A2" workbookViewId="0">
      <selection activeCell="B10" sqref="A2:O155"/>
    </sheetView>
  </sheetViews>
  <sheetFormatPr defaultRowHeight="14.4" x14ac:dyDescent="0.3"/>
  <cols>
    <col min="1" max="1" width="10.5546875" bestFit="1" customWidth="1"/>
    <col min="2" max="2" width="54.33203125" bestFit="1" customWidth="1"/>
    <col min="3" max="3" width="10" bestFit="1" customWidth="1"/>
    <col min="4" max="4" width="9" bestFit="1" customWidth="1"/>
    <col min="5" max="5" width="9.21875" bestFit="1" customWidth="1"/>
    <col min="6" max="6" width="10.109375" bestFit="1" customWidth="1"/>
    <col min="7" max="7" width="9.6640625" bestFit="1" customWidth="1"/>
    <col min="8" max="9" width="10.5546875" bestFit="1" customWidth="1"/>
    <col min="10" max="14" width="10" bestFit="1" customWidth="1"/>
    <col min="15" max="15" width="10.1093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s="67" t="s">
        <v>114</v>
      </c>
      <c r="B2" s="67" t="s">
        <v>82</v>
      </c>
      <c r="C2">
        <v>605.03</v>
      </c>
      <c r="D2">
        <v>0.34588999999999998</v>
      </c>
      <c r="E2">
        <v>0.23857300000000001</v>
      </c>
      <c r="F2">
        <v>0.21440500000000001</v>
      </c>
      <c r="G2">
        <v>0.51957399999999998</v>
      </c>
      <c r="H2">
        <v>5.1202310000000004</v>
      </c>
      <c r="I2">
        <v>2.1975609999999999</v>
      </c>
      <c r="J2">
        <v>9.256551</v>
      </c>
      <c r="K2">
        <v>13.867754</v>
      </c>
      <c r="L2">
        <v>16.663599999999999</v>
      </c>
      <c r="M2">
        <v>13.929805</v>
      </c>
      <c r="N2">
        <v>16.673783</v>
      </c>
      <c r="O2">
        <v>15.138806000000001</v>
      </c>
    </row>
    <row r="3" spans="1:15" x14ac:dyDescent="0.3">
      <c r="A3" s="67" t="s">
        <v>114</v>
      </c>
      <c r="B3" s="67" t="s">
        <v>83</v>
      </c>
      <c r="C3">
        <v>71.510000000000005</v>
      </c>
      <c r="D3">
        <v>0.40389999999999998</v>
      </c>
      <c r="E3">
        <v>0.224247</v>
      </c>
      <c r="F3">
        <v>5.5967999999999997E-2</v>
      </c>
      <c r="G3">
        <v>0.85955899999999996</v>
      </c>
      <c r="H3">
        <v>3.6677300000000002</v>
      </c>
      <c r="I3">
        <v>1.217268</v>
      </c>
      <c r="J3">
        <v>6.6676609999999998</v>
      </c>
      <c r="K3">
        <v>11.773391999999999</v>
      </c>
      <c r="L3">
        <v>13.526063000000001</v>
      </c>
      <c r="M3">
        <v>9.1183840000000007</v>
      </c>
      <c r="N3">
        <v>11.536460999999999</v>
      </c>
      <c r="O3">
        <v>13.921056999999999</v>
      </c>
    </row>
    <row r="4" spans="1:15" x14ac:dyDescent="0.3">
      <c r="A4" s="67" t="s">
        <v>114</v>
      </c>
      <c r="B4" s="67" t="s">
        <v>84</v>
      </c>
      <c r="C4">
        <v>10.541</v>
      </c>
      <c r="D4">
        <v>0.47209899999999999</v>
      </c>
      <c r="E4">
        <v>0.104463</v>
      </c>
      <c r="F4">
        <v>1.8977000000000001E-2</v>
      </c>
      <c r="G4">
        <v>0.79058799999999996</v>
      </c>
      <c r="H4">
        <v>6.0676189999999997</v>
      </c>
      <c r="I4">
        <v>2.8490579999999999</v>
      </c>
      <c r="J4">
        <v>9.0523480000000003</v>
      </c>
      <c r="K4">
        <v>0</v>
      </c>
      <c r="L4">
        <v>0</v>
      </c>
      <c r="M4">
        <v>0</v>
      </c>
      <c r="N4">
        <v>0</v>
      </c>
      <c r="O4">
        <v>0</v>
      </c>
    </row>
    <row r="5" spans="1:15" x14ac:dyDescent="0.3">
      <c r="A5" s="67" t="s">
        <v>114</v>
      </c>
      <c r="B5" s="67" t="s">
        <v>85</v>
      </c>
      <c r="C5">
        <v>92.366</v>
      </c>
      <c r="D5">
        <v>0.31944099999999997</v>
      </c>
      <c r="E5">
        <v>0.29535</v>
      </c>
      <c r="F5">
        <v>0.13838700000000001</v>
      </c>
      <c r="G5">
        <v>0.78733399999999998</v>
      </c>
      <c r="H5">
        <v>5.5888980000000004</v>
      </c>
      <c r="I5">
        <v>3.916296</v>
      </c>
      <c r="J5">
        <v>8.9118949999999995</v>
      </c>
      <c r="K5">
        <v>15.054023000000001</v>
      </c>
      <c r="L5">
        <v>19.157381000000001</v>
      </c>
      <c r="M5">
        <v>14.161123</v>
      </c>
      <c r="N5">
        <v>16.720780000000001</v>
      </c>
      <c r="O5">
        <v>14.882389</v>
      </c>
    </row>
    <row r="6" spans="1:15" x14ac:dyDescent="0.3">
      <c r="A6" s="67" t="s">
        <v>114</v>
      </c>
      <c r="B6" s="67" t="s">
        <v>86</v>
      </c>
      <c r="C6">
        <v>17.57</v>
      </c>
      <c r="D6">
        <v>0.34032899999999999</v>
      </c>
      <c r="E6">
        <v>0.51487400000000005</v>
      </c>
      <c r="F6">
        <v>1.0350779999999999</v>
      </c>
      <c r="G6">
        <v>0.11396000000000001</v>
      </c>
      <c r="H6">
        <v>5.1466190000000003</v>
      </c>
      <c r="I6">
        <v>3.7190080000000001</v>
      </c>
      <c r="J6">
        <v>6.0350029999999997</v>
      </c>
      <c r="K6">
        <v>11.305320999999999</v>
      </c>
      <c r="L6">
        <v>17.354085999999999</v>
      </c>
      <c r="M6">
        <v>12.780881000000001</v>
      </c>
      <c r="N6">
        <v>0</v>
      </c>
      <c r="O6">
        <v>0</v>
      </c>
    </row>
    <row r="7" spans="1:15" x14ac:dyDescent="0.3">
      <c r="A7" s="67" t="s">
        <v>114</v>
      </c>
      <c r="B7" s="67" t="s">
        <v>87</v>
      </c>
      <c r="C7">
        <v>261.613</v>
      </c>
      <c r="D7">
        <v>0.313448</v>
      </c>
      <c r="E7">
        <v>0.14416100000000001</v>
      </c>
      <c r="F7">
        <v>8.2939999999999993E-3</v>
      </c>
      <c r="G7">
        <v>0.71906800000000004</v>
      </c>
      <c r="H7">
        <v>4.7268869999999996</v>
      </c>
      <c r="I7">
        <v>1.460477</v>
      </c>
      <c r="J7">
        <v>4.9072579999999997</v>
      </c>
      <c r="K7">
        <v>13.948217</v>
      </c>
      <c r="L7">
        <v>17.446860999999998</v>
      </c>
      <c r="M7">
        <v>14.789173</v>
      </c>
      <c r="N7">
        <v>16.484722999999999</v>
      </c>
      <c r="O7">
        <v>14.470245999999999</v>
      </c>
    </row>
    <row r="8" spans="1:15" x14ac:dyDescent="0.3">
      <c r="A8" s="67" t="s">
        <v>114</v>
      </c>
      <c r="B8" s="67" t="s">
        <v>88</v>
      </c>
      <c r="C8">
        <v>75.150000000000006</v>
      </c>
      <c r="D8">
        <v>0.331565</v>
      </c>
      <c r="E8">
        <v>0.253469</v>
      </c>
      <c r="F8">
        <v>0.119617</v>
      </c>
      <c r="G8">
        <v>0.77898100000000003</v>
      </c>
      <c r="H8">
        <v>4.5056320000000003</v>
      </c>
      <c r="I8">
        <v>1.4717800000000001</v>
      </c>
      <c r="J8">
        <v>7.9586269999999999</v>
      </c>
      <c r="K8">
        <v>14.480975000000001</v>
      </c>
      <c r="L8">
        <v>17.08023</v>
      </c>
      <c r="M8">
        <v>13.659765999999999</v>
      </c>
      <c r="N8">
        <v>16.067247999999999</v>
      </c>
      <c r="O8">
        <v>15.87262</v>
      </c>
    </row>
    <row r="9" spans="1:15" x14ac:dyDescent="0.3">
      <c r="A9" s="67" t="s">
        <v>114</v>
      </c>
      <c r="B9" s="67" t="s">
        <v>89</v>
      </c>
      <c r="C9">
        <v>533.048</v>
      </c>
      <c r="D9">
        <v>0.21079300000000001</v>
      </c>
      <c r="E9">
        <v>0.20923600000000001</v>
      </c>
      <c r="F9">
        <v>0.437996</v>
      </c>
      <c r="G9">
        <v>0.34343800000000002</v>
      </c>
      <c r="H9">
        <v>4.4068250000000004</v>
      </c>
      <c r="I9">
        <v>1.5184500000000001</v>
      </c>
      <c r="J9">
        <v>8.9819180000000003</v>
      </c>
      <c r="K9">
        <v>15.990931</v>
      </c>
      <c r="L9">
        <v>19.256699000000001</v>
      </c>
      <c r="M9">
        <v>15.354666</v>
      </c>
      <c r="N9">
        <v>16.237293000000001</v>
      </c>
      <c r="O9">
        <v>13.219619</v>
      </c>
    </row>
    <row r="10" spans="1:15" x14ac:dyDescent="0.3">
      <c r="A10" s="67" t="s">
        <v>114</v>
      </c>
      <c r="B10" s="67" t="s">
        <v>90</v>
      </c>
      <c r="C10">
        <v>100.03</v>
      </c>
      <c r="D10">
        <v>0.328816</v>
      </c>
      <c r="E10">
        <v>0.140154</v>
      </c>
      <c r="F10">
        <v>0.16966100000000001</v>
      </c>
      <c r="G10">
        <v>0.75404300000000002</v>
      </c>
      <c r="H10">
        <v>4.8752360000000001</v>
      </c>
      <c r="I10">
        <v>2.1861269999999999</v>
      </c>
      <c r="J10">
        <v>8.5512750000000004</v>
      </c>
      <c r="K10">
        <v>13.148108000000001</v>
      </c>
      <c r="L10">
        <v>17.332215000000001</v>
      </c>
      <c r="M10">
        <v>14.572927999999999</v>
      </c>
      <c r="N10">
        <v>16.513594000000001</v>
      </c>
      <c r="O10">
        <v>14.917144</v>
      </c>
    </row>
    <row r="11" spans="1:15" x14ac:dyDescent="0.3">
      <c r="A11" s="67" t="s">
        <v>114</v>
      </c>
      <c r="B11" s="67" t="s">
        <v>91</v>
      </c>
      <c r="C11">
        <v>1182.4889000000001</v>
      </c>
      <c r="D11">
        <v>0.33349200000000001</v>
      </c>
      <c r="E11">
        <v>0.119738</v>
      </c>
      <c r="F11">
        <v>0.45811600000000002</v>
      </c>
      <c r="G11">
        <v>0.44303100000000001</v>
      </c>
      <c r="H11">
        <v>5.5705429999999998</v>
      </c>
      <c r="I11">
        <v>2.8445010000000002</v>
      </c>
      <c r="J11">
        <v>8.8234820000000003</v>
      </c>
      <c r="K11">
        <v>14.041824999999999</v>
      </c>
      <c r="L11">
        <v>16.357244000000001</v>
      </c>
      <c r="M11">
        <v>12.167657</v>
      </c>
      <c r="N11">
        <v>16.077234000000001</v>
      </c>
      <c r="O11">
        <v>12.895989999999999</v>
      </c>
    </row>
    <row r="12" spans="1:15" x14ac:dyDescent="0.3">
      <c r="A12" s="67" t="s">
        <v>114</v>
      </c>
      <c r="B12" s="67" t="s">
        <v>92</v>
      </c>
      <c r="C12">
        <v>53.24</v>
      </c>
      <c r="D12">
        <v>0.31829200000000002</v>
      </c>
      <c r="E12">
        <v>9.4003000000000003E-2</v>
      </c>
      <c r="F12">
        <v>0.54175200000000001</v>
      </c>
      <c r="G12">
        <v>0.98568</v>
      </c>
      <c r="H12">
        <v>3.4791059999999998</v>
      </c>
      <c r="I12">
        <v>2.6214339999999998</v>
      </c>
      <c r="J12">
        <v>7.7950999999999997</v>
      </c>
      <c r="K12">
        <v>12.140072</v>
      </c>
      <c r="L12">
        <v>15.444457</v>
      </c>
      <c r="M12">
        <v>13.325105000000001</v>
      </c>
      <c r="N12">
        <v>14.361005</v>
      </c>
      <c r="O12">
        <v>13.397568</v>
      </c>
    </row>
    <row r="13" spans="1:15" x14ac:dyDescent="0.3">
      <c r="A13" s="67" t="s">
        <v>114</v>
      </c>
      <c r="B13" s="67" t="s">
        <v>93</v>
      </c>
      <c r="C13">
        <v>1274.4110000000001</v>
      </c>
      <c r="D13">
        <v>0.198521</v>
      </c>
      <c r="E13">
        <v>0.318965</v>
      </c>
      <c r="F13">
        <v>3.8041999999999999E-2</v>
      </c>
      <c r="G13">
        <v>0.42419400000000002</v>
      </c>
      <c r="H13">
        <v>4.8482000000000003</v>
      </c>
      <c r="I13">
        <v>2.2954469999999998</v>
      </c>
      <c r="J13">
        <v>7.9095750000000002</v>
      </c>
      <c r="K13">
        <v>10.940617</v>
      </c>
      <c r="L13">
        <v>16.827328999999999</v>
      </c>
      <c r="M13">
        <v>15.821249</v>
      </c>
      <c r="N13">
        <v>18.300625</v>
      </c>
      <c r="O13">
        <v>14.515934</v>
      </c>
    </row>
    <row r="14" spans="1:15" x14ac:dyDescent="0.3">
      <c r="A14" s="67" t="s">
        <v>114</v>
      </c>
      <c r="B14" s="67" t="s">
        <v>94</v>
      </c>
      <c r="C14">
        <v>549.31010000000003</v>
      </c>
      <c r="D14">
        <v>0.37945099999999998</v>
      </c>
      <c r="E14">
        <v>0.39025900000000002</v>
      </c>
      <c r="F14">
        <v>0.43120799999999998</v>
      </c>
      <c r="G14">
        <v>0.30631900000000001</v>
      </c>
      <c r="H14">
        <v>5.9235290000000003</v>
      </c>
      <c r="I14">
        <v>3.8070970000000002</v>
      </c>
      <c r="J14">
        <v>4.9415620000000002</v>
      </c>
      <c r="K14">
        <v>12.735246999999999</v>
      </c>
      <c r="L14">
        <v>16.367242999999998</v>
      </c>
      <c r="M14">
        <v>13.026073999999999</v>
      </c>
      <c r="N14">
        <v>14.968437</v>
      </c>
      <c r="O14">
        <v>14.209315999999999</v>
      </c>
    </row>
    <row r="15" spans="1:15" x14ac:dyDescent="0.3">
      <c r="A15" s="67" t="s">
        <v>114</v>
      </c>
      <c r="B15" s="67" t="s">
        <v>95</v>
      </c>
      <c r="C15">
        <v>126.59</v>
      </c>
      <c r="D15">
        <v>0.377745</v>
      </c>
      <c r="E15">
        <v>0.118633</v>
      </c>
      <c r="F15">
        <v>0.40909400000000001</v>
      </c>
      <c r="G15">
        <v>1.039712</v>
      </c>
      <c r="H15">
        <v>4.7323570000000004</v>
      </c>
      <c r="I15">
        <v>3.4316529999999998</v>
      </c>
      <c r="J15">
        <v>10.791178</v>
      </c>
      <c r="K15">
        <v>15.242077999999999</v>
      </c>
      <c r="L15">
        <v>19.043095999999998</v>
      </c>
      <c r="M15">
        <v>16.513559999999998</v>
      </c>
      <c r="N15">
        <v>19.015160000000002</v>
      </c>
      <c r="O15">
        <v>15.855479000000001</v>
      </c>
    </row>
    <row r="16" spans="1:15" x14ac:dyDescent="0.3">
      <c r="A16" s="67" t="s">
        <v>114</v>
      </c>
      <c r="B16" s="67" t="s">
        <v>96</v>
      </c>
      <c r="C16">
        <v>85.68</v>
      </c>
      <c r="D16">
        <v>0.48780499999999999</v>
      </c>
      <c r="E16">
        <v>7.0077E-2</v>
      </c>
      <c r="F16">
        <v>5.8390999999999998E-2</v>
      </c>
      <c r="G16">
        <v>1.176471</v>
      </c>
      <c r="H16">
        <v>4.1069259999999996</v>
      </c>
      <c r="I16">
        <v>1.049652</v>
      </c>
      <c r="J16">
        <v>7.1267820000000004</v>
      </c>
      <c r="K16">
        <v>14.817689</v>
      </c>
      <c r="L16">
        <v>19.264695</v>
      </c>
      <c r="M16">
        <v>14.185835000000001</v>
      </c>
      <c r="N16">
        <v>17.815449999999998</v>
      </c>
      <c r="O16">
        <v>14.986288999999999</v>
      </c>
    </row>
    <row r="17" spans="1:15" x14ac:dyDescent="0.3">
      <c r="A17" s="67" t="s">
        <v>114</v>
      </c>
      <c r="B17" s="67" t="s">
        <v>97</v>
      </c>
      <c r="C17">
        <v>19.916499999999999</v>
      </c>
      <c r="D17">
        <v>0.31282799999999999</v>
      </c>
      <c r="E17">
        <v>0.46052500000000002</v>
      </c>
      <c r="F17">
        <v>0.27186900000000003</v>
      </c>
      <c r="G17">
        <v>0.57310300000000003</v>
      </c>
      <c r="H17">
        <v>5.0481559999999996</v>
      </c>
      <c r="I17">
        <v>0.78639300000000001</v>
      </c>
      <c r="J17">
        <v>4.7250220000000001</v>
      </c>
      <c r="K17">
        <v>11.579879999999999</v>
      </c>
      <c r="L17">
        <v>16.091536000000001</v>
      </c>
      <c r="M17">
        <v>12.669090000000001</v>
      </c>
      <c r="N17">
        <v>14.775924</v>
      </c>
      <c r="O17">
        <v>0</v>
      </c>
    </row>
    <row r="18" spans="1:15" x14ac:dyDescent="0.3">
      <c r="A18" s="67" t="s">
        <v>114</v>
      </c>
      <c r="B18" s="67" t="s">
        <v>98</v>
      </c>
      <c r="C18">
        <v>182.46600000000001</v>
      </c>
      <c r="D18">
        <v>0.69585699999999995</v>
      </c>
      <c r="E18">
        <v>0.32064599999999999</v>
      </c>
      <c r="F18">
        <v>7.8980999999999996E-2</v>
      </c>
      <c r="G18">
        <v>0.69353299999999996</v>
      </c>
      <c r="H18">
        <v>5.422987</v>
      </c>
      <c r="I18">
        <v>2.7298580000000001</v>
      </c>
      <c r="J18">
        <v>4.0880280000000004</v>
      </c>
      <c r="K18">
        <v>11.673873</v>
      </c>
      <c r="L18">
        <v>17.375126000000002</v>
      </c>
      <c r="M18">
        <v>14.266468</v>
      </c>
      <c r="N18">
        <v>16.043865</v>
      </c>
      <c r="O18">
        <v>13.089922</v>
      </c>
    </row>
    <row r="19" spans="1:15" x14ac:dyDescent="0.3">
      <c r="A19" s="67" t="s">
        <v>114</v>
      </c>
      <c r="B19" s="67" t="s">
        <v>99</v>
      </c>
      <c r="C19">
        <v>684.97500000000002</v>
      </c>
      <c r="D19">
        <v>0.43837799999999999</v>
      </c>
      <c r="E19">
        <v>0.175789</v>
      </c>
      <c r="F19">
        <v>3.0939999999999999E-2</v>
      </c>
      <c r="G19">
        <v>0.73890599999999995</v>
      </c>
      <c r="H19">
        <v>4.9530450000000004</v>
      </c>
      <c r="I19">
        <v>2.8492540000000002</v>
      </c>
      <c r="J19">
        <v>9.0087480000000006</v>
      </c>
      <c r="K19">
        <v>14.261777</v>
      </c>
      <c r="L19">
        <v>17.239342000000001</v>
      </c>
      <c r="M19">
        <v>14.005495</v>
      </c>
      <c r="N19">
        <v>16.843958000000001</v>
      </c>
      <c r="O19">
        <v>14.751321000000001</v>
      </c>
    </row>
    <row r="20" spans="1:15" x14ac:dyDescent="0.3">
      <c r="A20" s="67" t="s">
        <v>114</v>
      </c>
      <c r="B20" s="67" t="s">
        <v>100</v>
      </c>
      <c r="C20">
        <v>65.343299999999999</v>
      </c>
      <c r="D20">
        <v>0.23375299999999999</v>
      </c>
      <c r="E20">
        <v>0.475134</v>
      </c>
      <c r="F20">
        <v>0.23731099999999999</v>
      </c>
      <c r="G20">
        <v>0.79960500000000001</v>
      </c>
      <c r="H20">
        <v>4.3084530000000001</v>
      </c>
      <c r="I20">
        <v>1.0339449999999999</v>
      </c>
      <c r="J20">
        <v>6.2751890000000001</v>
      </c>
      <c r="K20">
        <v>11.838960999999999</v>
      </c>
      <c r="L20">
        <v>13.557149000000001</v>
      </c>
      <c r="M20">
        <v>10.390867999999999</v>
      </c>
      <c r="N20">
        <v>13.139113</v>
      </c>
      <c r="O20">
        <v>12.74464</v>
      </c>
    </row>
    <row r="21" spans="1:15" x14ac:dyDescent="0.3">
      <c r="A21" s="67" t="s">
        <v>114</v>
      </c>
      <c r="B21" s="67" t="s">
        <v>101</v>
      </c>
      <c r="C21">
        <v>26.923300000000001</v>
      </c>
      <c r="D21">
        <v>0.330955</v>
      </c>
      <c r="E21">
        <v>0.33241300000000001</v>
      </c>
      <c r="F21">
        <v>0.29092699999999999</v>
      </c>
      <c r="G21">
        <v>4.7565000000000003E-2</v>
      </c>
      <c r="H21">
        <v>6.0916410000000001</v>
      </c>
      <c r="I21">
        <v>1.8525659999999999</v>
      </c>
      <c r="J21">
        <v>10.227551999999999</v>
      </c>
      <c r="K21">
        <v>13.58915</v>
      </c>
      <c r="L21">
        <v>16.553878000000001</v>
      </c>
      <c r="M21">
        <v>13.578861</v>
      </c>
      <c r="N21">
        <v>16.924375000000001</v>
      </c>
      <c r="O21">
        <v>0</v>
      </c>
    </row>
    <row r="22" spans="1:15" x14ac:dyDescent="0.3">
      <c r="A22" s="67" t="s">
        <v>114</v>
      </c>
      <c r="B22" s="67" t="s">
        <v>102</v>
      </c>
      <c r="C22">
        <v>133.09100000000001</v>
      </c>
      <c r="D22">
        <v>0.35115299999999999</v>
      </c>
      <c r="E22">
        <v>0.30598799999999998</v>
      </c>
      <c r="F22">
        <v>0.166328</v>
      </c>
      <c r="G22">
        <v>0.39515299999999998</v>
      </c>
      <c r="H22">
        <v>5.6269390000000001</v>
      </c>
      <c r="I22">
        <v>3.7487720000000002</v>
      </c>
      <c r="J22">
        <v>10.47555</v>
      </c>
      <c r="K22">
        <v>13.02403</v>
      </c>
      <c r="L22">
        <v>14.99436</v>
      </c>
      <c r="M22">
        <v>12.225823</v>
      </c>
      <c r="N22">
        <v>15.245964000000001</v>
      </c>
      <c r="O22">
        <v>14.96049</v>
      </c>
    </row>
    <row r="23" spans="1:15" x14ac:dyDescent="0.3">
      <c r="A23" s="67" t="s">
        <v>114</v>
      </c>
      <c r="B23" s="67" t="s">
        <v>103</v>
      </c>
      <c r="C23">
        <v>14.5962</v>
      </c>
      <c r="D23">
        <v>0.46099899999999999</v>
      </c>
      <c r="E23">
        <v>0.18463499999999999</v>
      </c>
      <c r="F23">
        <v>0.202517</v>
      </c>
      <c r="G23">
        <v>0.968858</v>
      </c>
      <c r="H23">
        <v>4.4473229999999999</v>
      </c>
      <c r="I23">
        <v>2.4079139999999999</v>
      </c>
      <c r="J23">
        <v>9.4373009999999997</v>
      </c>
      <c r="K23">
        <v>0</v>
      </c>
      <c r="L23">
        <v>0</v>
      </c>
      <c r="M23">
        <v>0</v>
      </c>
      <c r="N23">
        <v>0</v>
      </c>
      <c r="O23">
        <v>0</v>
      </c>
    </row>
    <row r="24" spans="1:15" x14ac:dyDescent="0.3">
      <c r="A24" s="67" t="s">
        <v>114</v>
      </c>
      <c r="B24" s="67" t="s">
        <v>104</v>
      </c>
      <c r="C24">
        <v>104.99120000000001</v>
      </c>
      <c r="D24">
        <v>0.34511999999999998</v>
      </c>
      <c r="E24">
        <v>0.230741</v>
      </c>
      <c r="F24">
        <v>0.26844299999999999</v>
      </c>
      <c r="G24">
        <v>0.55344300000000002</v>
      </c>
      <c r="H24">
        <v>3.631043</v>
      </c>
      <c r="I24">
        <v>2.7856260000000002</v>
      </c>
      <c r="J24">
        <v>9.1496940000000002</v>
      </c>
      <c r="K24">
        <v>15.321351</v>
      </c>
      <c r="L24">
        <v>20.673542000000001</v>
      </c>
      <c r="M24">
        <v>18.868438999999999</v>
      </c>
      <c r="N24">
        <v>21.505499</v>
      </c>
      <c r="O24">
        <v>15.96523</v>
      </c>
    </row>
    <row r="25" spans="1:15" x14ac:dyDescent="0.3">
      <c r="A25" s="67" t="s">
        <v>114</v>
      </c>
      <c r="B25" s="67" t="s">
        <v>105</v>
      </c>
      <c r="C25">
        <v>417.32</v>
      </c>
      <c r="D25">
        <v>0.41283900000000001</v>
      </c>
      <c r="E25">
        <v>0.12235799999999999</v>
      </c>
      <c r="F25">
        <v>0.336733</v>
      </c>
      <c r="G25">
        <v>0.89058800000000005</v>
      </c>
      <c r="H25">
        <v>4.2700449999999996</v>
      </c>
      <c r="I25">
        <v>1.956952</v>
      </c>
      <c r="J25">
        <v>8.5865950000000009</v>
      </c>
      <c r="K25">
        <v>10.663822</v>
      </c>
      <c r="L25">
        <v>13.836429000000001</v>
      </c>
      <c r="M25">
        <v>11.612163000000001</v>
      </c>
      <c r="N25">
        <v>13.563473999999999</v>
      </c>
      <c r="O25">
        <v>12.796773</v>
      </c>
    </row>
    <row r="26" spans="1:15" x14ac:dyDescent="0.3">
      <c r="A26" s="67" t="s">
        <v>114</v>
      </c>
      <c r="B26" s="67" t="s">
        <v>106</v>
      </c>
      <c r="C26">
        <v>15.994400000000001</v>
      </c>
      <c r="D26">
        <v>0.31474200000000002</v>
      </c>
      <c r="E26">
        <v>0.35076400000000002</v>
      </c>
      <c r="F26">
        <v>0.83329200000000003</v>
      </c>
      <c r="G26">
        <v>1.230116</v>
      </c>
      <c r="H26">
        <v>2.7119010000000001</v>
      </c>
      <c r="I26">
        <v>0.86140600000000001</v>
      </c>
      <c r="J26">
        <v>5.0190409999999996</v>
      </c>
      <c r="K26">
        <v>11.655953</v>
      </c>
      <c r="L26">
        <v>16.860382000000001</v>
      </c>
      <c r="M26">
        <v>0</v>
      </c>
      <c r="N26">
        <v>0</v>
      </c>
      <c r="O26">
        <v>0</v>
      </c>
    </row>
    <row r="27" spans="1:15" x14ac:dyDescent="0.3">
      <c r="A27" s="67" t="s">
        <v>114</v>
      </c>
      <c r="B27" s="67" t="s">
        <v>107</v>
      </c>
      <c r="C27">
        <v>106.48050000000001</v>
      </c>
      <c r="D27">
        <v>0.26946199999999998</v>
      </c>
      <c r="E27">
        <v>0.16631599999999999</v>
      </c>
      <c r="F27">
        <v>8.4500000000000005E-4</v>
      </c>
      <c r="G27">
        <v>0.14985000000000001</v>
      </c>
      <c r="H27">
        <v>5.1390310000000001</v>
      </c>
      <c r="I27">
        <v>2.6688170000000002</v>
      </c>
      <c r="J27">
        <v>9.3123459999999998</v>
      </c>
      <c r="K27">
        <v>12.427284</v>
      </c>
      <c r="L27">
        <v>15.552975999999999</v>
      </c>
      <c r="M27">
        <v>13.428203</v>
      </c>
      <c r="N27">
        <v>15.982116</v>
      </c>
      <c r="O27">
        <v>13.987665</v>
      </c>
    </row>
    <row r="28" spans="1:15" x14ac:dyDescent="0.3">
      <c r="A28" s="67" t="s">
        <v>114</v>
      </c>
      <c r="B28" s="67" t="s">
        <v>108</v>
      </c>
      <c r="C28">
        <v>23.379100000000001</v>
      </c>
      <c r="D28">
        <v>0.25257800000000002</v>
      </c>
      <c r="E28">
        <v>7.0196999999999996E-2</v>
      </c>
      <c r="F28">
        <v>0.19296199999999999</v>
      </c>
      <c r="G28">
        <v>0.92678099999999997</v>
      </c>
      <c r="H28">
        <v>4.5268389999999998</v>
      </c>
      <c r="I28">
        <v>1.2805679999999999</v>
      </c>
      <c r="J28">
        <v>5.5056390000000004</v>
      </c>
      <c r="K28">
        <v>9.8814130000000002</v>
      </c>
      <c r="L28">
        <v>13.637333999999999</v>
      </c>
      <c r="M28">
        <v>12.000265000000001</v>
      </c>
      <c r="N28">
        <v>15.315545</v>
      </c>
      <c r="O28">
        <v>0</v>
      </c>
    </row>
    <row r="29" spans="1:15" x14ac:dyDescent="0.3">
      <c r="A29" s="67" t="s">
        <v>114</v>
      </c>
      <c r="B29" s="67" t="s">
        <v>109</v>
      </c>
      <c r="C29">
        <v>602.88170000000002</v>
      </c>
      <c r="D29">
        <v>0.28339599999999998</v>
      </c>
      <c r="E29">
        <v>0.31299500000000002</v>
      </c>
      <c r="F29">
        <v>0.38823200000000002</v>
      </c>
      <c r="G29">
        <v>0.36971199999999999</v>
      </c>
      <c r="H29">
        <v>5.0225799999999996</v>
      </c>
      <c r="I29">
        <v>3.4192339999999999</v>
      </c>
      <c r="J29">
        <v>9.2454059999999991</v>
      </c>
      <c r="K29">
        <v>12.542108000000001</v>
      </c>
      <c r="L29">
        <v>16.495049999999999</v>
      </c>
      <c r="M29">
        <v>13.737612</v>
      </c>
      <c r="N29">
        <v>17.417210000000001</v>
      </c>
      <c r="O29">
        <v>13.916829999999999</v>
      </c>
    </row>
    <row r="30" spans="1:15" x14ac:dyDescent="0.3">
      <c r="A30" s="67" t="s">
        <v>114</v>
      </c>
      <c r="B30" s="67" t="s">
        <v>110</v>
      </c>
      <c r="C30">
        <v>171.37</v>
      </c>
      <c r="D30">
        <v>0.45309300000000002</v>
      </c>
      <c r="E30">
        <v>0.55154599999999998</v>
      </c>
      <c r="F30">
        <v>7.0072999999999996E-2</v>
      </c>
      <c r="G30">
        <v>0.92501599999999995</v>
      </c>
      <c r="H30">
        <v>4.8326909999999996</v>
      </c>
      <c r="I30">
        <v>2.3471090000000001</v>
      </c>
      <c r="J30">
        <v>4.9353990000000003</v>
      </c>
      <c r="K30">
        <v>12.108283999999999</v>
      </c>
      <c r="L30">
        <v>15.604213</v>
      </c>
      <c r="M30">
        <v>13.255280000000001</v>
      </c>
      <c r="N30">
        <v>14.123931000000001</v>
      </c>
      <c r="O30">
        <v>10.673422</v>
      </c>
    </row>
    <row r="31" spans="1:15" x14ac:dyDescent="0.3">
      <c r="A31" s="67" t="s">
        <v>114</v>
      </c>
      <c r="B31" s="67" t="s">
        <v>111</v>
      </c>
      <c r="C31">
        <v>25.47</v>
      </c>
      <c r="D31">
        <v>0.46893299999999999</v>
      </c>
      <c r="E31">
        <v>0.236128</v>
      </c>
      <c r="F31">
        <v>0.235018</v>
      </c>
      <c r="G31">
        <v>1.8875189999999999</v>
      </c>
      <c r="H31">
        <v>2.9923169999999999</v>
      </c>
      <c r="I31">
        <v>0.59241699999999997</v>
      </c>
      <c r="J31">
        <v>4.5566500000000003</v>
      </c>
      <c r="K31">
        <v>9.7834760000000003</v>
      </c>
      <c r="L31">
        <v>13.757885</v>
      </c>
      <c r="M31">
        <v>10.700804</v>
      </c>
      <c r="N31">
        <v>14.068218</v>
      </c>
      <c r="O31">
        <v>0</v>
      </c>
    </row>
    <row r="32" spans="1:15" x14ac:dyDescent="0.3">
      <c r="A32" s="67" t="s">
        <v>114</v>
      </c>
      <c r="B32" s="67" t="s">
        <v>112</v>
      </c>
      <c r="C32">
        <v>311.01560000000001</v>
      </c>
      <c r="D32">
        <v>0.40084199999999998</v>
      </c>
      <c r="E32">
        <v>6.8170000000000001E-3</v>
      </c>
      <c r="F32">
        <v>0.118535</v>
      </c>
      <c r="G32">
        <v>0.35508299999999998</v>
      </c>
      <c r="H32">
        <v>4.4931830000000001</v>
      </c>
      <c r="I32">
        <v>1.889413</v>
      </c>
      <c r="J32">
        <v>8.9057309999999994</v>
      </c>
      <c r="K32">
        <v>11.426330999999999</v>
      </c>
      <c r="L32">
        <v>14.412246</v>
      </c>
      <c r="M32">
        <v>10.90663</v>
      </c>
      <c r="N32">
        <v>14.507795</v>
      </c>
      <c r="O32">
        <v>13.513068000000001</v>
      </c>
    </row>
    <row r="33" spans="1:15" x14ac:dyDescent="0.3">
      <c r="A33" s="67" t="s">
        <v>114</v>
      </c>
      <c r="B33" s="67" t="s">
        <v>113</v>
      </c>
      <c r="C33">
        <v>16.14</v>
      </c>
      <c r="D33">
        <v>0.35806900000000003</v>
      </c>
      <c r="E33">
        <v>4.3388999999999997E-2</v>
      </c>
      <c r="F33">
        <v>0.296516</v>
      </c>
      <c r="G33">
        <v>0.70136600000000004</v>
      </c>
      <c r="H33">
        <v>5.1328820000000004</v>
      </c>
      <c r="I33">
        <v>2.84185</v>
      </c>
      <c r="J33">
        <v>8.8407850000000003</v>
      </c>
      <c r="K33">
        <v>16.482505</v>
      </c>
      <c r="L33">
        <v>19.231103000000001</v>
      </c>
      <c r="M33">
        <v>0</v>
      </c>
      <c r="N33">
        <v>0</v>
      </c>
      <c r="O33">
        <v>0</v>
      </c>
    </row>
    <row r="34" spans="1:15" x14ac:dyDescent="0.3">
      <c r="A34" s="67" t="s">
        <v>81</v>
      </c>
      <c r="B34" s="67" t="s">
        <v>42</v>
      </c>
      <c r="C34">
        <v>15.776199999999999</v>
      </c>
      <c r="D34">
        <v>0.51018200000000002</v>
      </c>
      <c r="E34">
        <v>0.270121</v>
      </c>
      <c r="F34">
        <v>9.6888000000000002E-2</v>
      </c>
      <c r="G34">
        <v>1.4726459999999999</v>
      </c>
      <c r="H34">
        <v>2.8368419999999999</v>
      </c>
      <c r="I34">
        <v>0.56413599999999997</v>
      </c>
      <c r="J34">
        <v>1.939119</v>
      </c>
      <c r="K34">
        <v>15.242093000000001</v>
      </c>
      <c r="L34">
        <v>0</v>
      </c>
      <c r="M34">
        <v>0</v>
      </c>
      <c r="N34">
        <v>0</v>
      </c>
      <c r="O34">
        <v>0</v>
      </c>
    </row>
    <row r="35" spans="1:15" x14ac:dyDescent="0.3">
      <c r="A35" s="67" t="s">
        <v>81</v>
      </c>
      <c r="B35" s="67" t="s">
        <v>43</v>
      </c>
      <c r="C35">
        <v>2113.46</v>
      </c>
      <c r="D35">
        <v>0.38132500000000003</v>
      </c>
      <c r="E35">
        <v>6.2418000000000001E-2</v>
      </c>
      <c r="F35">
        <v>0.44771</v>
      </c>
      <c r="G35">
        <v>7.3758000000000004E-2</v>
      </c>
      <c r="H35">
        <v>6.836449</v>
      </c>
      <c r="I35">
        <v>4.2263380000000002</v>
      </c>
      <c r="J35">
        <v>11.336111000000001</v>
      </c>
      <c r="K35">
        <v>16.284361000000001</v>
      </c>
      <c r="L35">
        <v>19.468910000000001</v>
      </c>
      <c r="M35">
        <v>14.724658</v>
      </c>
      <c r="N35">
        <v>17.676632999999999</v>
      </c>
      <c r="O35">
        <v>15.919178</v>
      </c>
    </row>
    <row r="36" spans="1:15" x14ac:dyDescent="0.3">
      <c r="A36" s="67" t="s">
        <v>81</v>
      </c>
      <c r="B36" s="67" t="s">
        <v>44</v>
      </c>
      <c r="C36">
        <v>29.52</v>
      </c>
      <c r="D36">
        <v>0.43844899999999998</v>
      </c>
      <c r="E36">
        <v>0.27173900000000001</v>
      </c>
      <c r="F36">
        <v>0.50556100000000004</v>
      </c>
      <c r="G36">
        <v>1.9269099999999999</v>
      </c>
      <c r="H36">
        <v>0.957592</v>
      </c>
      <c r="I36">
        <v>1.0392220000000001</v>
      </c>
      <c r="J36">
        <v>2.5</v>
      </c>
      <c r="K36">
        <v>13.726616999999999</v>
      </c>
      <c r="L36">
        <v>15.736050000000001</v>
      </c>
      <c r="M36">
        <v>9.9353870000000004</v>
      </c>
      <c r="N36">
        <v>13.491042</v>
      </c>
      <c r="O36">
        <v>0</v>
      </c>
    </row>
    <row r="37" spans="1:15" x14ac:dyDescent="0.3">
      <c r="A37" s="67" t="s">
        <v>81</v>
      </c>
      <c r="B37" s="67" t="s">
        <v>45</v>
      </c>
      <c r="C37">
        <v>15.393000000000001</v>
      </c>
      <c r="D37">
        <v>0.51702999999999999</v>
      </c>
      <c r="E37">
        <v>3.8994000000000001E-2</v>
      </c>
      <c r="F37">
        <v>6.5006999999999995E-2</v>
      </c>
      <c r="G37">
        <v>2.1175120000000001</v>
      </c>
      <c r="H37">
        <v>3.5310730000000001</v>
      </c>
      <c r="I37">
        <v>1.7315449999999999</v>
      </c>
      <c r="J37">
        <v>7.7337629999999997</v>
      </c>
      <c r="K37">
        <v>18.259623000000001</v>
      </c>
      <c r="L37">
        <v>0</v>
      </c>
      <c r="M37">
        <v>0</v>
      </c>
      <c r="N37">
        <v>0</v>
      </c>
      <c r="O37">
        <v>0</v>
      </c>
    </row>
    <row r="38" spans="1:15" x14ac:dyDescent="0.3">
      <c r="A38" s="67" t="s">
        <v>81</v>
      </c>
      <c r="B38" s="67" t="s">
        <v>46</v>
      </c>
      <c r="C38">
        <v>235.92500000000001</v>
      </c>
      <c r="D38">
        <v>0.39685100000000001</v>
      </c>
      <c r="E38">
        <v>0.30014600000000002</v>
      </c>
      <c r="F38">
        <v>0.185308</v>
      </c>
      <c r="G38">
        <v>0.54213299999999998</v>
      </c>
      <c r="H38">
        <v>4.8071109999999999</v>
      </c>
      <c r="I38">
        <v>2.3207300000000002</v>
      </c>
      <c r="J38">
        <v>9.6346520000000009</v>
      </c>
      <c r="K38">
        <v>13.744486</v>
      </c>
      <c r="L38">
        <v>17.057713</v>
      </c>
      <c r="M38">
        <v>12.807001</v>
      </c>
      <c r="N38">
        <v>16.476405</v>
      </c>
      <c r="O38">
        <v>12.383319</v>
      </c>
    </row>
    <row r="39" spans="1:15" x14ac:dyDescent="0.3">
      <c r="A39" s="67" t="s">
        <v>81</v>
      </c>
      <c r="B39" s="67" t="s">
        <v>47</v>
      </c>
      <c r="C39">
        <v>38.36</v>
      </c>
      <c r="D39">
        <v>0.285937</v>
      </c>
      <c r="E39">
        <v>0.57682199999999995</v>
      </c>
      <c r="F39">
        <v>0.94736799999999999</v>
      </c>
      <c r="G39">
        <v>0.90415900000000005</v>
      </c>
      <c r="H39">
        <v>2.7867099999999998</v>
      </c>
      <c r="I39">
        <v>2.5120260000000001</v>
      </c>
      <c r="J39">
        <v>0.285937</v>
      </c>
      <c r="K39">
        <v>15.258694</v>
      </c>
      <c r="L39">
        <v>23.24184</v>
      </c>
      <c r="M39">
        <v>17.550550000000001</v>
      </c>
      <c r="N39">
        <v>22.923321999999999</v>
      </c>
      <c r="O39">
        <v>0</v>
      </c>
    </row>
    <row r="40" spans="1:15" x14ac:dyDescent="0.3">
      <c r="A40" s="67" t="s">
        <v>81</v>
      </c>
      <c r="B40" s="67" t="s">
        <v>48</v>
      </c>
      <c r="C40">
        <v>16.506399999999999</v>
      </c>
      <c r="D40">
        <v>0.220638</v>
      </c>
      <c r="E40">
        <v>0.44910699999999998</v>
      </c>
      <c r="F40">
        <v>0.26849400000000001</v>
      </c>
      <c r="G40">
        <v>1.7365060000000001</v>
      </c>
      <c r="H40">
        <v>4.9344570000000001</v>
      </c>
      <c r="I40">
        <v>0.92817899999999998</v>
      </c>
      <c r="J40">
        <v>2.3614630000000001</v>
      </c>
      <c r="K40">
        <v>12.868607000000001</v>
      </c>
      <c r="L40">
        <v>17.935737</v>
      </c>
      <c r="M40">
        <v>0</v>
      </c>
      <c r="N40">
        <v>0</v>
      </c>
      <c r="O40">
        <v>0</v>
      </c>
    </row>
    <row r="41" spans="1:15" x14ac:dyDescent="0.3">
      <c r="A41" s="67" t="s">
        <v>81</v>
      </c>
      <c r="B41" s="67" t="s">
        <v>49</v>
      </c>
      <c r="C41">
        <v>393.57</v>
      </c>
      <c r="D41">
        <v>0.37968000000000002</v>
      </c>
      <c r="E41">
        <v>0.37234400000000001</v>
      </c>
      <c r="F41">
        <v>5.0819999999999997E-3</v>
      </c>
      <c r="G41">
        <v>1.0110920000000001</v>
      </c>
      <c r="H41">
        <v>3.5165700000000002</v>
      </c>
      <c r="I41">
        <v>1.7897320000000001</v>
      </c>
      <c r="J41">
        <v>7.9812339999999997</v>
      </c>
      <c r="K41">
        <v>14.392378000000001</v>
      </c>
      <c r="L41">
        <v>17.238545999999999</v>
      </c>
      <c r="M41">
        <v>13.073130000000001</v>
      </c>
      <c r="N41">
        <v>16.849492999999999</v>
      </c>
      <c r="O41">
        <v>15.447528</v>
      </c>
    </row>
    <row r="42" spans="1:15" x14ac:dyDescent="0.3">
      <c r="A42" s="67" t="s">
        <v>81</v>
      </c>
      <c r="B42" s="67" t="s">
        <v>50</v>
      </c>
      <c r="C42">
        <v>117.014</v>
      </c>
      <c r="D42">
        <v>0.46274999999999999</v>
      </c>
      <c r="E42">
        <v>1.1110999999999999E-2</v>
      </c>
      <c r="F42">
        <v>0.139958</v>
      </c>
      <c r="G42">
        <v>0.71021900000000004</v>
      </c>
      <c r="H42">
        <v>3.9533070000000001</v>
      </c>
      <c r="I42">
        <v>1.0396339999999999</v>
      </c>
      <c r="J42">
        <v>5.481687</v>
      </c>
      <c r="K42">
        <v>13.154866</v>
      </c>
      <c r="L42">
        <v>19.245301000000001</v>
      </c>
      <c r="M42">
        <v>13.516342</v>
      </c>
      <c r="N42">
        <v>17.187735</v>
      </c>
      <c r="O42">
        <v>15.621477000000001</v>
      </c>
    </row>
    <row r="43" spans="1:15" x14ac:dyDescent="0.3">
      <c r="A43" s="67" t="s">
        <v>81</v>
      </c>
      <c r="B43" s="67" t="s">
        <v>51</v>
      </c>
      <c r="C43">
        <v>46.119</v>
      </c>
      <c r="D43">
        <v>0.34357599999999999</v>
      </c>
      <c r="E43">
        <v>0.35032000000000002</v>
      </c>
      <c r="F43">
        <v>0.47712399999999999</v>
      </c>
      <c r="G43">
        <v>0.24010400000000001</v>
      </c>
      <c r="H43">
        <v>6.0036319999999996</v>
      </c>
      <c r="I43">
        <v>3.6638269999999999</v>
      </c>
      <c r="J43">
        <v>6.0816559999999997</v>
      </c>
      <c r="K43">
        <v>17.061339</v>
      </c>
      <c r="L43">
        <v>21.349920999999998</v>
      </c>
      <c r="M43">
        <v>16.820526000000001</v>
      </c>
      <c r="N43">
        <v>20.502867999999999</v>
      </c>
      <c r="O43">
        <v>16.649038999999998</v>
      </c>
    </row>
    <row r="44" spans="1:15" x14ac:dyDescent="0.3">
      <c r="A44" s="67" t="s">
        <v>81</v>
      </c>
      <c r="B44" s="67" t="s">
        <v>52</v>
      </c>
      <c r="C44">
        <v>1858.1522</v>
      </c>
      <c r="D44">
        <v>0.25506400000000001</v>
      </c>
      <c r="E44">
        <v>0.13603499999999999</v>
      </c>
      <c r="F44">
        <v>0.28267900000000001</v>
      </c>
      <c r="G44">
        <v>1.154614</v>
      </c>
      <c r="H44">
        <v>4.1194819999999996</v>
      </c>
      <c r="I44">
        <v>8.0881999999999996E-2</v>
      </c>
      <c r="J44">
        <v>4.0863019999999999</v>
      </c>
      <c r="K44">
        <v>13.779871</v>
      </c>
      <c r="L44">
        <v>19.097957000000001</v>
      </c>
      <c r="M44">
        <v>16.148848000000001</v>
      </c>
      <c r="N44">
        <v>20.756038</v>
      </c>
      <c r="O44">
        <v>15.37608</v>
      </c>
    </row>
    <row r="45" spans="1:15" x14ac:dyDescent="0.3">
      <c r="A45" s="67" t="s">
        <v>81</v>
      </c>
      <c r="B45" s="67" t="s">
        <v>53</v>
      </c>
      <c r="C45">
        <v>2259.64</v>
      </c>
      <c r="D45">
        <v>0.29822599999999999</v>
      </c>
      <c r="E45">
        <v>0.14399100000000001</v>
      </c>
      <c r="F45">
        <v>0.57827799999999996</v>
      </c>
      <c r="G45">
        <v>1.0776380000000001</v>
      </c>
      <c r="H45">
        <v>2.7924419999999999</v>
      </c>
      <c r="I45">
        <v>3.4542280000000001</v>
      </c>
      <c r="J45">
        <v>11.406544</v>
      </c>
      <c r="K45">
        <v>18.323972999999999</v>
      </c>
      <c r="L45">
        <v>22.412572999999998</v>
      </c>
      <c r="M45">
        <v>21.940491000000002</v>
      </c>
      <c r="N45">
        <v>24.698791</v>
      </c>
      <c r="O45">
        <v>17.409683000000001</v>
      </c>
    </row>
    <row r="46" spans="1:15" x14ac:dyDescent="0.3">
      <c r="A46" s="67" t="s">
        <v>81</v>
      </c>
      <c r="B46" s="67" t="s">
        <v>54</v>
      </c>
      <c r="C46">
        <v>15.51</v>
      </c>
      <c r="D46">
        <v>0.44929400000000003</v>
      </c>
      <c r="E46">
        <v>0.25856499999999999</v>
      </c>
      <c r="F46">
        <v>0.12878300000000001</v>
      </c>
      <c r="G46">
        <v>2.0214780000000001</v>
      </c>
      <c r="H46">
        <v>3.4</v>
      </c>
      <c r="I46">
        <v>5.8703070000000004</v>
      </c>
      <c r="J46">
        <v>7.0393369999999997</v>
      </c>
      <c r="K46">
        <v>18.514330999999999</v>
      </c>
      <c r="L46">
        <v>0</v>
      </c>
      <c r="M46">
        <v>0</v>
      </c>
      <c r="N46">
        <v>0</v>
      </c>
      <c r="O46">
        <v>0</v>
      </c>
    </row>
    <row r="47" spans="1:15" x14ac:dyDescent="0.3">
      <c r="A47" s="67" t="s">
        <v>81</v>
      </c>
      <c r="B47" s="67" t="s">
        <v>55</v>
      </c>
      <c r="C47">
        <v>247.3168</v>
      </c>
      <c r="D47">
        <v>0.62569799999999998</v>
      </c>
      <c r="E47">
        <v>0.47814299999999998</v>
      </c>
      <c r="F47">
        <v>0.41017999999999999</v>
      </c>
      <c r="G47">
        <v>1.3438349999999999</v>
      </c>
      <c r="H47">
        <v>2.5831529999999998</v>
      </c>
      <c r="I47">
        <v>0.11813</v>
      </c>
      <c r="J47">
        <v>1.7969459999999999</v>
      </c>
      <c r="K47">
        <v>15.568390000000001</v>
      </c>
      <c r="L47">
        <v>20.791474000000001</v>
      </c>
      <c r="M47">
        <v>14.784435999999999</v>
      </c>
      <c r="N47">
        <v>18.380593000000001</v>
      </c>
      <c r="O47">
        <v>14.672825</v>
      </c>
    </row>
    <row r="48" spans="1:15" x14ac:dyDescent="0.3">
      <c r="A48" s="67" t="s">
        <v>81</v>
      </c>
      <c r="B48" s="67" t="s">
        <v>56</v>
      </c>
      <c r="C48">
        <v>20.81</v>
      </c>
      <c r="D48">
        <v>0.57333999999999996</v>
      </c>
      <c r="E48">
        <v>0.430622</v>
      </c>
      <c r="F48">
        <v>0.76299499999999998</v>
      </c>
      <c r="G48">
        <v>1.6075649999999999</v>
      </c>
      <c r="H48">
        <v>2.714709</v>
      </c>
      <c r="I48">
        <v>6.827515</v>
      </c>
      <c r="J48">
        <v>9.6417280000000005</v>
      </c>
      <c r="K48">
        <v>17.033555</v>
      </c>
      <c r="L48">
        <v>20.983422000000001</v>
      </c>
      <c r="M48">
        <v>18.342072999999999</v>
      </c>
      <c r="N48">
        <v>0</v>
      </c>
      <c r="O48">
        <v>0</v>
      </c>
    </row>
    <row r="49" spans="1:15" x14ac:dyDescent="0.3">
      <c r="A49" s="67" t="s">
        <v>81</v>
      </c>
      <c r="B49" s="67" t="s">
        <v>57</v>
      </c>
      <c r="C49">
        <v>19.98</v>
      </c>
      <c r="D49">
        <v>0.59701499999999996</v>
      </c>
      <c r="E49">
        <v>0.19980000000000001</v>
      </c>
      <c r="F49">
        <v>0.59701499999999996</v>
      </c>
      <c r="G49">
        <v>2.6790060000000002</v>
      </c>
      <c r="H49">
        <v>0.40200999999999998</v>
      </c>
      <c r="I49">
        <v>0.89285700000000001</v>
      </c>
      <c r="J49">
        <v>0.96008099999999996</v>
      </c>
      <c r="K49">
        <v>17.942809</v>
      </c>
      <c r="L49">
        <v>23.405135999999999</v>
      </c>
      <c r="M49">
        <v>0</v>
      </c>
      <c r="N49">
        <v>0</v>
      </c>
      <c r="O49">
        <v>0</v>
      </c>
    </row>
    <row r="50" spans="1:15" x14ac:dyDescent="0.3">
      <c r="A50" s="67" t="s">
        <v>81</v>
      </c>
      <c r="B50" s="67" t="s">
        <v>58</v>
      </c>
      <c r="C50">
        <v>19.1797</v>
      </c>
      <c r="D50">
        <v>0.16916300000000001</v>
      </c>
      <c r="E50">
        <v>0.62115399999999998</v>
      </c>
      <c r="F50">
        <v>0.76494300000000004</v>
      </c>
      <c r="G50">
        <v>0.38123699999999999</v>
      </c>
      <c r="H50">
        <v>4.9625399999999997</v>
      </c>
      <c r="I50">
        <v>2.1419250000000001</v>
      </c>
      <c r="J50">
        <v>3.888007</v>
      </c>
      <c r="K50">
        <v>15.962785999999999</v>
      </c>
      <c r="L50">
        <v>0</v>
      </c>
      <c r="M50">
        <v>0</v>
      </c>
      <c r="N50">
        <v>0</v>
      </c>
      <c r="O50">
        <v>0</v>
      </c>
    </row>
    <row r="51" spans="1:15" x14ac:dyDescent="0.3">
      <c r="A51" s="67" t="s">
        <v>81</v>
      </c>
      <c r="B51" s="67" t="s">
        <v>59</v>
      </c>
      <c r="C51">
        <v>110.9179</v>
      </c>
      <c r="D51">
        <v>0.44715300000000002</v>
      </c>
      <c r="E51">
        <v>2.0281E-2</v>
      </c>
      <c r="F51">
        <v>3.5149E-2</v>
      </c>
      <c r="G51">
        <v>2.068762</v>
      </c>
      <c r="H51">
        <v>0.62670599999999999</v>
      </c>
      <c r="I51">
        <v>1.1535280000000001</v>
      </c>
      <c r="J51">
        <v>5.4826550000000003</v>
      </c>
      <c r="K51">
        <v>13.687697999999999</v>
      </c>
      <c r="L51">
        <v>22.072873000000001</v>
      </c>
      <c r="M51">
        <v>19.037191</v>
      </c>
      <c r="N51">
        <v>21.722422999999999</v>
      </c>
      <c r="O51">
        <v>18.120491000000001</v>
      </c>
    </row>
    <row r="52" spans="1:15" x14ac:dyDescent="0.3">
      <c r="A52" s="67" t="s">
        <v>81</v>
      </c>
      <c r="B52" s="67" t="s">
        <v>60</v>
      </c>
      <c r="C52">
        <v>98.106999999999999</v>
      </c>
      <c r="D52">
        <v>0.355485</v>
      </c>
      <c r="E52">
        <v>0.38164799999999999</v>
      </c>
      <c r="F52">
        <v>0.19404199999999999</v>
      </c>
      <c r="G52">
        <v>1.173543</v>
      </c>
      <c r="H52">
        <v>4.0271869999999996</v>
      </c>
      <c r="I52">
        <v>0.83975699999999998</v>
      </c>
      <c r="J52">
        <v>9.0295839999999998</v>
      </c>
      <c r="K52">
        <v>14.460578</v>
      </c>
      <c r="L52">
        <v>17.763300999999998</v>
      </c>
      <c r="M52">
        <v>15.03693</v>
      </c>
      <c r="N52">
        <v>17.140395000000002</v>
      </c>
      <c r="O52">
        <v>15.51562</v>
      </c>
    </row>
    <row r="53" spans="1:15" x14ac:dyDescent="0.3">
      <c r="A53" s="67" t="s">
        <v>81</v>
      </c>
      <c r="B53" s="67" t="s">
        <v>61</v>
      </c>
      <c r="C53">
        <v>112.7881</v>
      </c>
      <c r="D53">
        <v>0.37196600000000002</v>
      </c>
      <c r="E53">
        <v>0.53526399999999996</v>
      </c>
      <c r="F53">
        <v>0.80311399999999999</v>
      </c>
      <c r="G53">
        <v>1.8971169999999999</v>
      </c>
      <c r="H53">
        <v>3.4402080000000002</v>
      </c>
      <c r="I53">
        <v>6.2318930000000003</v>
      </c>
      <c r="J53">
        <v>2.6683849999999998</v>
      </c>
      <c r="K53">
        <v>11.917695</v>
      </c>
      <c r="L53">
        <v>17.337337999999999</v>
      </c>
      <c r="M53">
        <v>12.557694</v>
      </c>
      <c r="N53">
        <v>14.045540000000001</v>
      </c>
      <c r="O53">
        <v>11.45106</v>
      </c>
    </row>
    <row r="54" spans="1:15" x14ac:dyDescent="0.3">
      <c r="A54" s="67" t="s">
        <v>81</v>
      </c>
      <c r="B54" s="67" t="s">
        <v>62</v>
      </c>
      <c r="C54">
        <v>17.9438</v>
      </c>
      <c r="D54">
        <v>0.44054300000000002</v>
      </c>
      <c r="E54">
        <v>0.124432</v>
      </c>
      <c r="F54">
        <v>0.20077999999999999</v>
      </c>
      <c r="G54">
        <v>0.77417400000000003</v>
      </c>
      <c r="H54">
        <v>4.1851010000000004</v>
      </c>
      <c r="I54">
        <v>1.4909330000000001</v>
      </c>
      <c r="J54">
        <v>7.9099139999999997</v>
      </c>
      <c r="K54">
        <v>13.157762</v>
      </c>
      <c r="L54">
        <v>19.288453000000001</v>
      </c>
      <c r="M54">
        <v>15.530730999999999</v>
      </c>
      <c r="N54">
        <v>0</v>
      </c>
      <c r="O54">
        <v>0</v>
      </c>
    </row>
    <row r="55" spans="1:15" x14ac:dyDescent="0.3">
      <c r="A55" s="67" t="s">
        <v>81</v>
      </c>
      <c r="B55" s="67" t="s">
        <v>63</v>
      </c>
      <c r="C55">
        <v>17.132000000000001</v>
      </c>
      <c r="D55">
        <v>0.30840800000000002</v>
      </c>
      <c r="E55">
        <v>0.34557500000000002</v>
      </c>
      <c r="F55">
        <v>0.52810699999999999</v>
      </c>
      <c r="G55">
        <v>0.46479199999999998</v>
      </c>
      <c r="H55">
        <v>6.212027</v>
      </c>
      <c r="I55">
        <v>4.6229009999999997</v>
      </c>
      <c r="J55">
        <v>9.0099260000000001</v>
      </c>
      <c r="K55">
        <v>14.999002000000001</v>
      </c>
      <c r="L55">
        <v>0</v>
      </c>
      <c r="M55">
        <v>0</v>
      </c>
      <c r="N55">
        <v>0</v>
      </c>
      <c r="O55">
        <v>0</v>
      </c>
    </row>
    <row r="56" spans="1:15" x14ac:dyDescent="0.3">
      <c r="A56" s="67" t="s">
        <v>81</v>
      </c>
      <c r="B56" s="67" t="s">
        <v>64</v>
      </c>
      <c r="C56">
        <v>67.279200000000003</v>
      </c>
      <c r="D56">
        <v>0.75935900000000001</v>
      </c>
      <c r="E56">
        <v>0.99258800000000003</v>
      </c>
      <c r="F56">
        <v>0.93091900000000005</v>
      </c>
      <c r="G56">
        <v>3.1985990000000002</v>
      </c>
      <c r="H56">
        <v>0.53210299999999999</v>
      </c>
      <c r="I56">
        <v>3.1933060000000002</v>
      </c>
      <c r="J56">
        <v>3.6436259999999998</v>
      </c>
      <c r="K56">
        <v>18.495609999999999</v>
      </c>
      <c r="L56">
        <v>23.153846000000001</v>
      </c>
      <c r="M56">
        <v>16.699245999999999</v>
      </c>
      <c r="N56">
        <v>16.529947</v>
      </c>
      <c r="O56">
        <v>14.309685</v>
      </c>
    </row>
    <row r="57" spans="1:15" x14ac:dyDescent="0.3">
      <c r="A57" s="67" t="s">
        <v>81</v>
      </c>
      <c r="B57" s="67" t="s">
        <v>65</v>
      </c>
      <c r="C57">
        <v>27.188199999999998</v>
      </c>
      <c r="D57">
        <v>0.62065899999999996</v>
      </c>
      <c r="E57">
        <v>8.6509000000000003E-2</v>
      </c>
      <c r="F57">
        <v>0.34990100000000002</v>
      </c>
      <c r="G57">
        <v>0.49517800000000001</v>
      </c>
      <c r="H57">
        <v>4.7743099999999998</v>
      </c>
      <c r="I57">
        <v>4.2476339999999997</v>
      </c>
      <c r="J57">
        <v>6.115615</v>
      </c>
      <c r="K57">
        <v>10.536867000000001</v>
      </c>
      <c r="L57">
        <v>15.290851999999999</v>
      </c>
      <c r="M57">
        <v>12.477574000000001</v>
      </c>
      <c r="N57">
        <v>16.505466999999999</v>
      </c>
      <c r="O57">
        <v>0</v>
      </c>
    </row>
    <row r="58" spans="1:15" x14ac:dyDescent="0.3">
      <c r="A58" s="67" t="s">
        <v>81</v>
      </c>
      <c r="B58" s="67" t="s">
        <v>66</v>
      </c>
      <c r="C58">
        <v>17.9498</v>
      </c>
      <c r="D58">
        <v>0.36081400000000002</v>
      </c>
      <c r="E58">
        <v>0.13611999999999999</v>
      </c>
      <c r="F58">
        <v>4.1243000000000002E-2</v>
      </c>
      <c r="G58">
        <v>0.72836900000000004</v>
      </c>
      <c r="H58">
        <v>2.8712580000000001</v>
      </c>
      <c r="I58">
        <v>1.3374429999999999</v>
      </c>
      <c r="J58">
        <v>3.468988</v>
      </c>
      <c r="K58">
        <v>10.831631</v>
      </c>
      <c r="L58">
        <v>18.233713999999999</v>
      </c>
      <c r="M58">
        <v>14.002742</v>
      </c>
      <c r="N58">
        <v>0</v>
      </c>
      <c r="O58">
        <v>0</v>
      </c>
    </row>
    <row r="59" spans="1:15" x14ac:dyDescent="0.3">
      <c r="A59" s="67" t="s">
        <v>81</v>
      </c>
      <c r="B59" s="67" t="s">
        <v>67</v>
      </c>
      <c r="C59">
        <v>13.8</v>
      </c>
      <c r="D59">
        <v>0.43290000000000001</v>
      </c>
      <c r="E59">
        <v>7.2411000000000003E-2</v>
      </c>
      <c r="F59">
        <v>0.43290000000000001</v>
      </c>
      <c r="G59">
        <v>0.71942399999999995</v>
      </c>
      <c r="H59">
        <v>0.50983199999999995</v>
      </c>
      <c r="I59">
        <v>7.2515999999999997E-2</v>
      </c>
      <c r="J59">
        <v>1.1461319999999999</v>
      </c>
      <c r="K59">
        <v>6.9217389999999996</v>
      </c>
      <c r="L59">
        <v>0</v>
      </c>
      <c r="M59">
        <v>0</v>
      </c>
      <c r="N59">
        <v>0</v>
      </c>
      <c r="O59">
        <v>0</v>
      </c>
    </row>
    <row r="60" spans="1:15" x14ac:dyDescent="0.3">
      <c r="A60" s="67" t="s">
        <v>81</v>
      </c>
      <c r="B60" s="67" t="s">
        <v>68</v>
      </c>
      <c r="C60">
        <v>95.048199999999994</v>
      </c>
      <c r="D60">
        <v>0.31035000000000001</v>
      </c>
      <c r="E60">
        <v>0.669377</v>
      </c>
      <c r="F60">
        <v>0.30657099999999998</v>
      </c>
      <c r="G60">
        <v>5.5581999999999999E-2</v>
      </c>
      <c r="H60">
        <v>2.633426</v>
      </c>
      <c r="I60">
        <v>2.5650930000000001</v>
      </c>
      <c r="J60">
        <v>8.5600140000000007</v>
      </c>
      <c r="K60">
        <v>16.650970000000001</v>
      </c>
      <c r="L60">
        <v>23.09215</v>
      </c>
      <c r="M60">
        <v>15.487723000000001</v>
      </c>
      <c r="N60">
        <v>21.079587</v>
      </c>
      <c r="O60">
        <v>18.349796999999999</v>
      </c>
    </row>
    <row r="61" spans="1:15" x14ac:dyDescent="0.3">
      <c r="A61" s="67" t="s">
        <v>81</v>
      </c>
      <c r="B61" s="67" t="s">
        <v>69</v>
      </c>
      <c r="C61">
        <v>43.24</v>
      </c>
      <c r="D61">
        <v>0.41455599999999998</v>
      </c>
      <c r="E61">
        <v>0.18535699999999999</v>
      </c>
      <c r="F61">
        <v>0.27675300000000003</v>
      </c>
      <c r="G61">
        <v>1.5258480000000001</v>
      </c>
      <c r="H61">
        <v>2.8788960000000001</v>
      </c>
      <c r="I61">
        <v>1.217228</v>
      </c>
      <c r="J61">
        <v>5.5921859999999999</v>
      </c>
      <c r="K61">
        <v>11.911314000000001</v>
      </c>
      <c r="L61">
        <v>14.984207</v>
      </c>
      <c r="M61">
        <v>10.237322000000001</v>
      </c>
      <c r="N61">
        <v>16.466753000000001</v>
      </c>
      <c r="O61">
        <v>15.673495000000001</v>
      </c>
    </row>
    <row r="62" spans="1:15" x14ac:dyDescent="0.3">
      <c r="A62" s="67" t="s">
        <v>81</v>
      </c>
      <c r="B62" s="67" t="s">
        <v>70</v>
      </c>
      <c r="C62">
        <v>110.4585</v>
      </c>
      <c r="D62">
        <v>0.241227</v>
      </c>
      <c r="E62">
        <v>0.25969300000000001</v>
      </c>
      <c r="F62">
        <v>0.39065100000000003</v>
      </c>
      <c r="G62">
        <v>1.185592</v>
      </c>
      <c r="H62">
        <v>3.250095</v>
      </c>
      <c r="I62">
        <v>1.0613140000000001</v>
      </c>
      <c r="J62">
        <v>4.8912899999999997</v>
      </c>
      <c r="K62">
        <v>11.955266999999999</v>
      </c>
      <c r="L62">
        <v>17.830334000000001</v>
      </c>
      <c r="M62">
        <v>16.542717</v>
      </c>
      <c r="N62">
        <v>23.700723</v>
      </c>
      <c r="O62">
        <v>19.726109999999998</v>
      </c>
    </row>
    <row r="63" spans="1:15" x14ac:dyDescent="0.3">
      <c r="A63" s="67" t="s">
        <v>81</v>
      </c>
      <c r="B63" s="67" t="s">
        <v>71</v>
      </c>
      <c r="C63">
        <v>10.44</v>
      </c>
      <c r="D63">
        <v>0.76045600000000002</v>
      </c>
      <c r="E63">
        <v>0.48123199999999999</v>
      </c>
      <c r="F63">
        <v>0.57803499999999997</v>
      </c>
      <c r="G63">
        <v>0.76045600000000002</v>
      </c>
      <c r="H63">
        <v>0.94876700000000003</v>
      </c>
      <c r="I63">
        <v>8.2601049999999994</v>
      </c>
      <c r="J63">
        <v>17.274168</v>
      </c>
      <c r="K63">
        <v>6.4094899999999999</v>
      </c>
      <c r="L63">
        <v>3.4855719999999999</v>
      </c>
      <c r="M63">
        <v>0</v>
      </c>
      <c r="N63">
        <v>0</v>
      </c>
      <c r="O63">
        <v>0</v>
      </c>
    </row>
    <row r="64" spans="1:15" x14ac:dyDescent="0.3">
      <c r="A64" s="67" t="s">
        <v>81</v>
      </c>
      <c r="B64" s="67" t="s">
        <v>72</v>
      </c>
      <c r="C64">
        <v>126.28230000000001</v>
      </c>
      <c r="D64">
        <v>0.49428899999999998</v>
      </c>
      <c r="E64">
        <v>0.23160500000000001</v>
      </c>
      <c r="F64">
        <v>3.7124999999999998E-2</v>
      </c>
      <c r="G64">
        <v>0.25118400000000002</v>
      </c>
      <c r="H64">
        <v>4.2550790000000003</v>
      </c>
      <c r="I64">
        <v>3.308208</v>
      </c>
      <c r="J64">
        <v>5.5838530000000004</v>
      </c>
      <c r="K64">
        <v>11.368224</v>
      </c>
      <c r="L64">
        <v>15.135439</v>
      </c>
      <c r="M64">
        <v>11.924066</v>
      </c>
      <c r="N64">
        <v>15.635887</v>
      </c>
      <c r="O64">
        <v>14.023842999999999</v>
      </c>
    </row>
    <row r="65" spans="1:15" x14ac:dyDescent="0.3">
      <c r="A65" s="67" t="s">
        <v>81</v>
      </c>
      <c r="B65" s="67" t="s">
        <v>73</v>
      </c>
      <c r="C65">
        <v>23.3048</v>
      </c>
      <c r="D65">
        <v>0.45745999999999998</v>
      </c>
      <c r="E65">
        <v>0.39027800000000001</v>
      </c>
      <c r="F65">
        <v>0.32761200000000001</v>
      </c>
      <c r="G65">
        <v>1.251266</v>
      </c>
      <c r="H65">
        <v>4.8207620000000002</v>
      </c>
      <c r="I65">
        <v>1.504837</v>
      </c>
      <c r="J65">
        <v>4.1538490000000001</v>
      </c>
      <c r="K65">
        <v>6.3560819999999998</v>
      </c>
      <c r="L65">
        <v>13.172713999999999</v>
      </c>
      <c r="M65">
        <v>11.336942000000001</v>
      </c>
      <c r="N65">
        <v>13.211074</v>
      </c>
      <c r="O65">
        <v>0</v>
      </c>
    </row>
    <row r="66" spans="1:15" x14ac:dyDescent="0.3">
      <c r="A66" s="67" t="s">
        <v>81</v>
      </c>
      <c r="B66" s="67" t="s">
        <v>74</v>
      </c>
      <c r="C66">
        <v>16.0288</v>
      </c>
      <c r="D66">
        <v>0.27933799999999998</v>
      </c>
      <c r="E66">
        <v>0.41283199999999998</v>
      </c>
      <c r="F66">
        <v>0.103046</v>
      </c>
      <c r="G66">
        <v>0.41130800000000001</v>
      </c>
      <c r="H66">
        <v>4.4697909999999998</v>
      </c>
      <c r="I66">
        <v>3.2916609999999999</v>
      </c>
      <c r="J66">
        <v>8.1266320000000007</v>
      </c>
      <c r="K66">
        <v>12.897129</v>
      </c>
      <c r="L66">
        <v>16.942138</v>
      </c>
      <c r="M66">
        <v>0</v>
      </c>
      <c r="N66">
        <v>0</v>
      </c>
      <c r="O66">
        <v>0</v>
      </c>
    </row>
    <row r="67" spans="1:15" x14ac:dyDescent="0.3">
      <c r="A67" s="67" t="s">
        <v>81</v>
      </c>
      <c r="B67" s="67" t="s">
        <v>75</v>
      </c>
      <c r="C67">
        <v>27.7636</v>
      </c>
      <c r="D67">
        <v>0.32347599999999999</v>
      </c>
      <c r="E67">
        <v>0.169212</v>
      </c>
      <c r="F67">
        <v>0.27442499999999997</v>
      </c>
      <c r="G67">
        <v>0.39821200000000001</v>
      </c>
      <c r="H67">
        <v>3.587405</v>
      </c>
      <c r="I67">
        <v>1.0905149999999999</v>
      </c>
      <c r="J67">
        <v>11.692836</v>
      </c>
      <c r="K67">
        <v>13.141641</v>
      </c>
      <c r="L67">
        <v>18.477405000000001</v>
      </c>
      <c r="M67">
        <v>13.353865000000001</v>
      </c>
      <c r="N67">
        <v>15.935786999999999</v>
      </c>
      <c r="O67">
        <v>0</v>
      </c>
    </row>
    <row r="68" spans="1:15" x14ac:dyDescent="0.3">
      <c r="A68" s="67" t="s">
        <v>81</v>
      </c>
      <c r="B68" s="67" t="s">
        <v>76</v>
      </c>
      <c r="C68">
        <v>234.15</v>
      </c>
      <c r="D68">
        <v>0.49296699999999999</v>
      </c>
      <c r="E68">
        <v>0.372942</v>
      </c>
      <c r="F68">
        <v>0.23009099999999999</v>
      </c>
      <c r="G68">
        <v>2.241984</v>
      </c>
      <c r="H68">
        <v>2.0128089999999998</v>
      </c>
      <c r="I68">
        <v>1.344063</v>
      </c>
      <c r="J68">
        <v>1.0647740000000001</v>
      </c>
      <c r="K68">
        <v>8.4394650000000002</v>
      </c>
      <c r="L68">
        <v>14.56091</v>
      </c>
      <c r="M68">
        <v>11.974905</v>
      </c>
      <c r="N68">
        <v>13.783944</v>
      </c>
      <c r="O68">
        <v>10.111893999999999</v>
      </c>
    </row>
    <row r="69" spans="1:15" x14ac:dyDescent="0.3">
      <c r="A69" s="67" t="s">
        <v>81</v>
      </c>
      <c r="B69" s="67" t="s">
        <v>77</v>
      </c>
      <c r="C69">
        <v>11.83</v>
      </c>
      <c r="D69">
        <v>0.420875</v>
      </c>
      <c r="E69">
        <v>0.42444799999999999</v>
      </c>
      <c r="F69">
        <v>0.33927099999999999</v>
      </c>
      <c r="G69">
        <v>2.0695359999999998</v>
      </c>
      <c r="H69">
        <v>3.3187769999999999</v>
      </c>
      <c r="I69">
        <v>0.33927099999999999</v>
      </c>
      <c r="J69">
        <v>2.793755</v>
      </c>
      <c r="K69">
        <v>0</v>
      </c>
      <c r="L69">
        <v>0</v>
      </c>
      <c r="M69">
        <v>0</v>
      </c>
      <c r="N69">
        <v>0</v>
      </c>
      <c r="O69">
        <v>0</v>
      </c>
    </row>
    <row r="70" spans="1:15" x14ac:dyDescent="0.3">
      <c r="A70" s="67" t="s">
        <v>81</v>
      </c>
      <c r="B70" s="67" t="s">
        <v>78</v>
      </c>
      <c r="C70">
        <v>58.08</v>
      </c>
      <c r="D70">
        <v>0.56497200000000003</v>
      </c>
      <c r="E70">
        <v>0.120669</v>
      </c>
      <c r="F70">
        <v>0.224331</v>
      </c>
      <c r="G70">
        <v>0.65001699999999996</v>
      </c>
      <c r="H70">
        <v>3.125</v>
      </c>
      <c r="I70">
        <v>1.008696</v>
      </c>
      <c r="J70">
        <v>3.7884199999999999</v>
      </c>
      <c r="K70">
        <v>11.440706</v>
      </c>
      <c r="L70">
        <v>16.731911</v>
      </c>
      <c r="M70">
        <v>12.788102</v>
      </c>
      <c r="N70">
        <v>17.333003999999999</v>
      </c>
      <c r="O70">
        <v>14.380874</v>
      </c>
    </row>
    <row r="71" spans="1:15" x14ac:dyDescent="0.3">
      <c r="A71" s="67" t="s">
        <v>81</v>
      </c>
      <c r="B71" s="67" t="s">
        <v>79</v>
      </c>
      <c r="C71">
        <v>345.06670000000003</v>
      </c>
      <c r="D71">
        <v>0.65294399999999997</v>
      </c>
      <c r="E71">
        <v>0.46251500000000001</v>
      </c>
      <c r="F71">
        <v>1.2219770000000001</v>
      </c>
      <c r="G71">
        <v>2.3097720000000002</v>
      </c>
      <c r="H71">
        <v>0.30641299999999999</v>
      </c>
      <c r="I71">
        <v>2.1933370000000001</v>
      </c>
      <c r="J71">
        <v>1.712747</v>
      </c>
      <c r="K71">
        <v>8.9515480000000007</v>
      </c>
      <c r="L71">
        <v>12.341626</v>
      </c>
      <c r="M71">
        <v>6.2855369999999997</v>
      </c>
      <c r="N71">
        <v>11.239089</v>
      </c>
      <c r="O71">
        <v>13.180229000000001</v>
      </c>
    </row>
    <row r="72" spans="1:15" x14ac:dyDescent="0.3">
      <c r="A72" s="67" t="s">
        <v>81</v>
      </c>
      <c r="B72" s="67" t="s">
        <v>80</v>
      </c>
      <c r="C72">
        <v>18.631</v>
      </c>
      <c r="D72">
        <v>0.47542699999999999</v>
      </c>
      <c r="E72">
        <v>4.8283E-2</v>
      </c>
      <c r="F72">
        <v>0.390291</v>
      </c>
      <c r="G72">
        <v>1.7766770000000001</v>
      </c>
      <c r="H72">
        <v>4.241034</v>
      </c>
      <c r="I72">
        <v>2.2726030000000002</v>
      </c>
      <c r="J72">
        <v>5.9542770000000003</v>
      </c>
      <c r="K72">
        <v>15.862306999999999</v>
      </c>
      <c r="L72">
        <v>21.597726000000002</v>
      </c>
      <c r="M72">
        <v>0</v>
      </c>
      <c r="N72">
        <v>0</v>
      </c>
      <c r="O72">
        <v>0</v>
      </c>
    </row>
    <row r="73" spans="1:15" x14ac:dyDescent="0.3">
      <c r="A73" s="67" t="s">
        <v>139</v>
      </c>
      <c r="B73" s="67" t="s">
        <v>115</v>
      </c>
      <c r="C73">
        <v>896.5</v>
      </c>
      <c r="D73">
        <v>0.36674800000000002</v>
      </c>
      <c r="E73">
        <v>7.4678999999999995E-2</v>
      </c>
      <c r="F73">
        <v>0.45943499999999998</v>
      </c>
      <c r="G73">
        <v>0.40659400000000001</v>
      </c>
      <c r="H73">
        <v>4.7264150000000003</v>
      </c>
      <c r="I73">
        <v>1.4140269999999999</v>
      </c>
      <c r="J73">
        <v>5.1267620000000003</v>
      </c>
      <c r="K73">
        <v>14.625672</v>
      </c>
      <c r="L73">
        <v>22.684760000000001</v>
      </c>
      <c r="M73">
        <v>15.658656000000001</v>
      </c>
      <c r="N73">
        <v>25.752113000000001</v>
      </c>
      <c r="O73">
        <v>14.784205</v>
      </c>
    </row>
    <row r="74" spans="1:15" x14ac:dyDescent="0.3">
      <c r="A74" s="67" t="s">
        <v>139</v>
      </c>
      <c r="B74" s="67" t="s">
        <v>116</v>
      </c>
      <c r="C74">
        <v>131.99</v>
      </c>
      <c r="D74">
        <v>0.39994000000000002</v>
      </c>
      <c r="E74">
        <v>1.5155E-2</v>
      </c>
      <c r="F74">
        <v>0.15129699999999999</v>
      </c>
      <c r="G74">
        <v>1.9536469999999999</v>
      </c>
      <c r="H74">
        <v>1.9700249999999999</v>
      </c>
      <c r="I74">
        <v>0.52754500000000004</v>
      </c>
      <c r="J74">
        <v>2.3972069999999999</v>
      </c>
      <c r="K74">
        <v>16.559660000000001</v>
      </c>
      <c r="L74">
        <v>20.873166000000001</v>
      </c>
      <c r="M74">
        <v>14.778476</v>
      </c>
      <c r="N74">
        <v>19.473300999999999</v>
      </c>
      <c r="O74">
        <v>17.746987000000001</v>
      </c>
    </row>
    <row r="75" spans="1:15" x14ac:dyDescent="0.3">
      <c r="A75" s="67" t="s">
        <v>139</v>
      </c>
      <c r="B75" s="67" t="s">
        <v>117</v>
      </c>
      <c r="C75">
        <v>18.286000000000001</v>
      </c>
      <c r="D75">
        <v>0.60335899999999998</v>
      </c>
      <c r="E75">
        <v>0.40305000000000002</v>
      </c>
      <c r="F75">
        <v>0.49518400000000001</v>
      </c>
      <c r="G75">
        <v>2.5733920000000001</v>
      </c>
      <c r="H75">
        <v>1.6001780000000001</v>
      </c>
      <c r="I75">
        <v>0.71601700000000001</v>
      </c>
      <c r="J75">
        <v>1.396603</v>
      </c>
      <c r="K75">
        <v>15.368359999999999</v>
      </c>
      <c r="L75">
        <v>23.226998999999999</v>
      </c>
      <c r="M75">
        <v>0</v>
      </c>
      <c r="N75">
        <v>0</v>
      </c>
      <c r="O75">
        <v>0</v>
      </c>
    </row>
    <row r="76" spans="1:15" x14ac:dyDescent="0.3">
      <c r="A76" s="67" t="s">
        <v>139</v>
      </c>
      <c r="B76" s="67" t="s">
        <v>118</v>
      </c>
      <c r="C76">
        <v>124.8134</v>
      </c>
      <c r="D76">
        <v>0.32279799999999997</v>
      </c>
      <c r="E76">
        <v>3.6360999999999997E-2</v>
      </c>
      <c r="F76">
        <v>8.1415000000000001E-2</v>
      </c>
      <c r="G76">
        <v>1.0531010000000001</v>
      </c>
      <c r="H76">
        <v>5.4116479999999996</v>
      </c>
      <c r="I76">
        <v>4.1331759999999997</v>
      </c>
      <c r="J76">
        <v>3.7909570000000001</v>
      </c>
      <c r="K76">
        <v>16.93873</v>
      </c>
      <c r="L76">
        <v>22.719456000000001</v>
      </c>
      <c r="M76">
        <v>18.559365</v>
      </c>
      <c r="N76">
        <v>23.03952</v>
      </c>
      <c r="O76">
        <v>16.909483000000002</v>
      </c>
    </row>
    <row r="77" spans="1:15" x14ac:dyDescent="0.3">
      <c r="A77" s="67" t="s">
        <v>139</v>
      </c>
      <c r="B77" s="67" t="s">
        <v>119</v>
      </c>
      <c r="C77">
        <v>17.989999999999998</v>
      </c>
      <c r="D77">
        <v>0.38759700000000002</v>
      </c>
      <c r="E77">
        <v>0</v>
      </c>
      <c r="F77">
        <v>0.60773500000000003</v>
      </c>
      <c r="G77">
        <v>2.1218720000000002</v>
      </c>
      <c r="H77">
        <v>2.1578650000000001</v>
      </c>
      <c r="I77">
        <v>0.22284100000000001</v>
      </c>
      <c r="J77">
        <v>5.2046780000000004</v>
      </c>
      <c r="K77">
        <v>17.040575</v>
      </c>
      <c r="L77">
        <v>22.354486999999999</v>
      </c>
      <c r="M77">
        <v>0</v>
      </c>
      <c r="N77">
        <v>0</v>
      </c>
      <c r="O77">
        <v>0</v>
      </c>
    </row>
    <row r="78" spans="1:15" x14ac:dyDescent="0.3">
      <c r="A78" s="67" t="s">
        <v>139</v>
      </c>
      <c r="B78" s="67" t="s">
        <v>120</v>
      </c>
      <c r="C78">
        <v>165.958</v>
      </c>
      <c r="D78">
        <v>0.51791699999999996</v>
      </c>
      <c r="E78">
        <v>0.37279600000000002</v>
      </c>
      <c r="F78">
        <v>0.303371</v>
      </c>
      <c r="G78">
        <v>1.6032059999999999</v>
      </c>
      <c r="H78">
        <v>3.0801430000000001</v>
      </c>
      <c r="I78">
        <v>1.6662790000000001</v>
      </c>
      <c r="J78">
        <v>2.6421579999999998</v>
      </c>
      <c r="K78">
        <v>13.189792000000001</v>
      </c>
      <c r="L78">
        <v>21.475436999999999</v>
      </c>
      <c r="M78">
        <v>14.851115999999999</v>
      </c>
      <c r="N78">
        <v>17.417266000000001</v>
      </c>
      <c r="O78">
        <v>15.880209000000001</v>
      </c>
    </row>
    <row r="79" spans="1:15" x14ac:dyDescent="0.3">
      <c r="A79" s="67" t="s">
        <v>139</v>
      </c>
      <c r="B79" s="67" t="s">
        <v>121</v>
      </c>
      <c r="C79">
        <v>122.14400000000001</v>
      </c>
      <c r="D79">
        <v>0.32234600000000002</v>
      </c>
      <c r="E79">
        <v>0.18290500000000001</v>
      </c>
      <c r="F79">
        <v>0.39617999999999998</v>
      </c>
      <c r="G79">
        <v>0.60462099999999996</v>
      </c>
      <c r="H79">
        <v>5.8100959999999997</v>
      </c>
      <c r="I79">
        <v>2.0230199999999998</v>
      </c>
      <c r="J79">
        <v>5.0086830000000004</v>
      </c>
      <c r="K79">
        <v>21.903986</v>
      </c>
      <c r="L79">
        <v>27.994109000000002</v>
      </c>
      <c r="M79">
        <v>21.798202</v>
      </c>
      <c r="N79">
        <v>27.231686</v>
      </c>
      <c r="O79">
        <v>19.783761999999999</v>
      </c>
    </row>
    <row r="80" spans="1:15" x14ac:dyDescent="0.3">
      <c r="A80" s="67" t="s">
        <v>139</v>
      </c>
      <c r="B80" s="67" t="s">
        <v>122</v>
      </c>
      <c r="C80">
        <v>3160.6545999999998</v>
      </c>
      <c r="D80">
        <v>0.20097100000000001</v>
      </c>
      <c r="E80">
        <v>0.12670400000000001</v>
      </c>
      <c r="F80">
        <v>0.66094699999999995</v>
      </c>
      <c r="G80">
        <v>0.70159300000000002</v>
      </c>
      <c r="H80">
        <v>5.1597869999999997</v>
      </c>
      <c r="I80">
        <v>0.95190399999999997</v>
      </c>
      <c r="J80">
        <v>2.6908660000000002</v>
      </c>
      <c r="K80">
        <v>17.449086999999999</v>
      </c>
      <c r="L80">
        <v>23.815861999999999</v>
      </c>
      <c r="M80">
        <v>18.473500000000001</v>
      </c>
      <c r="N80">
        <v>21.340803000000001</v>
      </c>
      <c r="O80">
        <v>16.413575000000002</v>
      </c>
    </row>
    <row r="81" spans="1:15" x14ac:dyDescent="0.3">
      <c r="A81" s="67" t="s">
        <v>139</v>
      </c>
      <c r="B81" s="67" t="s">
        <v>171</v>
      </c>
      <c r="C81">
        <v>222.77600000000001</v>
      </c>
      <c r="D81">
        <v>0.32705899999999999</v>
      </c>
      <c r="E81">
        <v>0.60411400000000004</v>
      </c>
      <c r="F81">
        <v>0.27842699999999998</v>
      </c>
      <c r="G81">
        <v>1.540257</v>
      </c>
      <c r="H81">
        <v>6.0116209999999999</v>
      </c>
      <c r="I81">
        <v>4.1832099999999999</v>
      </c>
      <c r="J81">
        <v>7.2162170000000003</v>
      </c>
      <c r="K81">
        <v>18.280764999999999</v>
      </c>
      <c r="L81">
        <v>26.799876999999999</v>
      </c>
      <c r="M81">
        <v>23.580936000000001</v>
      </c>
      <c r="N81">
        <v>26.530083000000001</v>
      </c>
      <c r="O81">
        <v>19.132438</v>
      </c>
    </row>
    <row r="82" spans="1:15" x14ac:dyDescent="0.3">
      <c r="A82" s="67" t="s">
        <v>139</v>
      </c>
      <c r="B82" s="67" t="s">
        <v>123</v>
      </c>
      <c r="C82">
        <v>457.05709999999999</v>
      </c>
      <c r="D82">
        <v>0.54620899999999994</v>
      </c>
      <c r="E82">
        <v>0.19178700000000001</v>
      </c>
      <c r="F82">
        <v>0.76223600000000002</v>
      </c>
      <c r="G82">
        <v>1.261385</v>
      </c>
      <c r="H82">
        <v>4.2684740000000003</v>
      </c>
      <c r="I82">
        <v>3.2695759999999998</v>
      </c>
      <c r="J82">
        <v>0.11562799999999999</v>
      </c>
      <c r="K82">
        <v>19.516583000000001</v>
      </c>
      <c r="L82">
        <v>26.507237</v>
      </c>
      <c r="M82">
        <v>20.15802</v>
      </c>
      <c r="N82">
        <v>22.043880999999999</v>
      </c>
      <c r="O82">
        <v>17.42998</v>
      </c>
    </row>
    <row r="83" spans="1:15" x14ac:dyDescent="0.3">
      <c r="A83" s="67" t="s">
        <v>139</v>
      </c>
      <c r="B83" s="67" t="s">
        <v>124</v>
      </c>
      <c r="C83">
        <v>352.45</v>
      </c>
      <c r="D83">
        <v>0.152979</v>
      </c>
      <c r="E83">
        <v>0.87869900000000001</v>
      </c>
      <c r="F83">
        <v>1.055137</v>
      </c>
      <c r="G83">
        <v>0.487541</v>
      </c>
      <c r="H83">
        <v>7.5887539999999998</v>
      </c>
      <c r="I83">
        <v>4.038138</v>
      </c>
      <c r="J83">
        <v>10.527471</v>
      </c>
      <c r="K83">
        <v>20.442485999999999</v>
      </c>
      <c r="L83">
        <v>25.040856000000002</v>
      </c>
      <c r="M83">
        <v>19.467645000000001</v>
      </c>
      <c r="N83">
        <v>24.068418000000001</v>
      </c>
      <c r="O83">
        <v>17.217158999999999</v>
      </c>
    </row>
    <row r="84" spans="1:15" x14ac:dyDescent="0.3">
      <c r="A84" s="67" t="s">
        <v>139</v>
      </c>
      <c r="B84" s="67" t="s">
        <v>125</v>
      </c>
      <c r="C84">
        <v>221.27</v>
      </c>
      <c r="D84">
        <v>0.43646499999999999</v>
      </c>
      <c r="E84">
        <v>0.57068399999999997</v>
      </c>
      <c r="F84">
        <v>0.82470500000000002</v>
      </c>
      <c r="G84">
        <v>2.811086</v>
      </c>
      <c r="H84">
        <v>3.8533750000000002</v>
      </c>
      <c r="I84">
        <v>2.568025</v>
      </c>
      <c r="J84">
        <v>7.0281510000000003</v>
      </c>
      <c r="K84">
        <v>25.680318</v>
      </c>
      <c r="L84">
        <v>29.044687</v>
      </c>
      <c r="M84">
        <v>21.890643000000001</v>
      </c>
      <c r="N84">
        <v>25.969234</v>
      </c>
      <c r="O84">
        <v>19.958912000000002</v>
      </c>
    </row>
    <row r="85" spans="1:15" x14ac:dyDescent="0.3">
      <c r="A85" s="67" t="s">
        <v>139</v>
      </c>
      <c r="B85" s="67" t="s">
        <v>126</v>
      </c>
      <c r="C85">
        <v>24.297899999999998</v>
      </c>
      <c r="D85">
        <v>0.115104</v>
      </c>
      <c r="E85">
        <v>1.1371629999999999</v>
      </c>
      <c r="F85">
        <v>1.948518</v>
      </c>
      <c r="G85">
        <v>1.213838</v>
      </c>
      <c r="H85">
        <v>8.1931080000000005</v>
      </c>
      <c r="I85">
        <v>4.4042640000000004</v>
      </c>
      <c r="J85">
        <v>5.8298560000000004</v>
      </c>
      <c r="K85">
        <v>19.057359999999999</v>
      </c>
      <c r="L85">
        <v>27.079858999999999</v>
      </c>
      <c r="M85">
        <v>20.849819</v>
      </c>
      <c r="N85">
        <v>0</v>
      </c>
      <c r="O85">
        <v>0</v>
      </c>
    </row>
    <row r="86" spans="1:15" x14ac:dyDescent="0.3">
      <c r="A86" s="67" t="s">
        <v>139</v>
      </c>
      <c r="B86" s="67" t="s">
        <v>127</v>
      </c>
      <c r="C86">
        <v>19.962800000000001</v>
      </c>
      <c r="D86">
        <v>0.27276299999999998</v>
      </c>
      <c r="E86">
        <v>6.7169999999999994E-2</v>
      </c>
      <c r="F86">
        <v>0.40709600000000001</v>
      </c>
      <c r="G86">
        <v>3.2838189999999998</v>
      </c>
      <c r="H86">
        <v>0.22643199999999999</v>
      </c>
      <c r="I86">
        <v>9.7086000000000006E-2</v>
      </c>
      <c r="J86">
        <v>0.99192599999999997</v>
      </c>
      <c r="K86">
        <v>16.629522999999999</v>
      </c>
      <c r="L86">
        <v>26.581211</v>
      </c>
      <c r="M86">
        <v>0</v>
      </c>
      <c r="N86">
        <v>0</v>
      </c>
      <c r="O86">
        <v>0</v>
      </c>
    </row>
    <row r="87" spans="1:15" x14ac:dyDescent="0.3">
      <c r="A87" s="67" t="s">
        <v>139</v>
      </c>
      <c r="B87" s="67" t="s">
        <v>128</v>
      </c>
      <c r="C87">
        <v>158.50299999999999</v>
      </c>
      <c r="D87">
        <v>0.48282199999999997</v>
      </c>
      <c r="E87">
        <v>0.33168999999999998</v>
      </c>
      <c r="F87">
        <v>0.19026299999999999</v>
      </c>
      <c r="G87">
        <v>1.0926400000000001</v>
      </c>
      <c r="H87">
        <v>1.805488</v>
      </c>
      <c r="I87">
        <v>1.1357619999999999</v>
      </c>
      <c r="J87">
        <v>2.8799350000000001</v>
      </c>
      <c r="K87">
        <v>18.275846000000001</v>
      </c>
      <c r="L87">
        <v>23.072713</v>
      </c>
      <c r="M87">
        <v>19.086158000000001</v>
      </c>
      <c r="N87">
        <v>24.357901999999999</v>
      </c>
      <c r="O87">
        <v>19.285018000000001</v>
      </c>
    </row>
    <row r="88" spans="1:15" x14ac:dyDescent="0.3">
      <c r="A88" s="67" t="s">
        <v>139</v>
      </c>
      <c r="B88" s="67" t="s">
        <v>129</v>
      </c>
      <c r="C88">
        <v>32.808700000000002</v>
      </c>
      <c r="D88">
        <v>0.50402000000000002</v>
      </c>
      <c r="E88">
        <v>2.1027000000000001E-2</v>
      </c>
      <c r="F88">
        <v>0.68805700000000003</v>
      </c>
      <c r="G88">
        <v>1.162836</v>
      </c>
      <c r="H88">
        <v>3.0378690000000002</v>
      </c>
      <c r="I88">
        <v>0.94978499999999999</v>
      </c>
      <c r="J88">
        <v>7.7784000000000006E-2</v>
      </c>
      <c r="K88">
        <v>14.900385999999999</v>
      </c>
      <c r="L88">
        <v>21.654299000000002</v>
      </c>
      <c r="M88">
        <v>15.321764</v>
      </c>
      <c r="N88">
        <v>19.437749</v>
      </c>
      <c r="O88">
        <v>0</v>
      </c>
    </row>
    <row r="89" spans="1:15" x14ac:dyDescent="0.3">
      <c r="A89" s="67" t="s">
        <v>139</v>
      </c>
      <c r="B89" s="67" t="s">
        <v>130</v>
      </c>
      <c r="C89">
        <v>38.2044</v>
      </c>
      <c r="D89">
        <v>0.19775300000000001</v>
      </c>
      <c r="E89">
        <v>0.29770799999999997</v>
      </c>
      <c r="F89">
        <v>0.61255999999999999</v>
      </c>
      <c r="G89">
        <v>1.475886</v>
      </c>
      <c r="H89">
        <v>4.6108349999999998</v>
      </c>
      <c r="I89">
        <v>1.113175</v>
      </c>
      <c r="J89">
        <v>2.097569</v>
      </c>
      <c r="K89">
        <v>16.739056999999999</v>
      </c>
      <c r="L89">
        <v>26.710705999999998</v>
      </c>
      <c r="M89">
        <v>20.313842999999999</v>
      </c>
      <c r="N89">
        <v>25.714272999999999</v>
      </c>
      <c r="O89">
        <v>0</v>
      </c>
    </row>
    <row r="90" spans="1:15" x14ac:dyDescent="0.3">
      <c r="A90" s="67" t="s">
        <v>139</v>
      </c>
      <c r="B90" s="67" t="s">
        <v>131</v>
      </c>
      <c r="C90">
        <v>41.101999999999997</v>
      </c>
      <c r="D90">
        <v>6.0787000000000001E-2</v>
      </c>
      <c r="E90">
        <v>4.1377999999999998E-2</v>
      </c>
      <c r="F90">
        <v>0.39018000000000003</v>
      </c>
      <c r="G90">
        <v>1.1971149999999999</v>
      </c>
      <c r="H90">
        <v>5.5683980000000002</v>
      </c>
      <c r="I90">
        <v>5.1551669999999996</v>
      </c>
      <c r="J90">
        <v>9.1918600000000001</v>
      </c>
      <c r="K90">
        <v>15.82253</v>
      </c>
      <c r="L90">
        <v>22.278048999999999</v>
      </c>
      <c r="M90">
        <v>18.255965</v>
      </c>
      <c r="N90">
        <v>23.877033000000001</v>
      </c>
      <c r="O90">
        <v>0</v>
      </c>
    </row>
    <row r="91" spans="1:15" x14ac:dyDescent="0.3">
      <c r="A91" s="67" t="s">
        <v>139</v>
      </c>
      <c r="B91" s="67" t="s">
        <v>132</v>
      </c>
      <c r="C91">
        <v>113.91200000000001</v>
      </c>
      <c r="D91">
        <v>0.79607300000000003</v>
      </c>
      <c r="E91">
        <v>1.392906</v>
      </c>
      <c r="F91">
        <v>1.282071</v>
      </c>
      <c r="G91">
        <v>4.2167919999999999</v>
      </c>
      <c r="H91">
        <v>0.23227100000000001</v>
      </c>
      <c r="I91">
        <v>3.672409</v>
      </c>
      <c r="J91">
        <v>10.083766000000001</v>
      </c>
      <c r="K91">
        <v>18.877675</v>
      </c>
      <c r="L91">
        <v>27.202817</v>
      </c>
      <c r="M91">
        <v>23.396615000000001</v>
      </c>
      <c r="N91">
        <v>29.452368</v>
      </c>
      <c r="O91">
        <v>18.67887</v>
      </c>
    </row>
    <row r="92" spans="1:15" x14ac:dyDescent="0.3">
      <c r="A92" s="67" t="s">
        <v>139</v>
      </c>
      <c r="B92" s="67" t="s">
        <v>172</v>
      </c>
      <c r="C92">
        <v>4629.2195000000002</v>
      </c>
      <c r="D92">
        <v>0.26558799999999999</v>
      </c>
      <c r="E92">
        <v>0.22562399999999999</v>
      </c>
      <c r="F92">
        <v>6.6267000000000006E-2</v>
      </c>
      <c r="G92">
        <v>1.3473679999999999</v>
      </c>
      <c r="H92">
        <v>3.5654840000000001</v>
      </c>
      <c r="I92">
        <v>0.99649699999999997</v>
      </c>
      <c r="J92">
        <v>4.4398860000000004</v>
      </c>
      <c r="K92">
        <v>16.475988000000001</v>
      </c>
      <c r="L92">
        <v>26.319747</v>
      </c>
      <c r="M92">
        <v>21.454235000000001</v>
      </c>
      <c r="N92">
        <v>26.044892000000001</v>
      </c>
      <c r="O92">
        <v>18.991085999999999</v>
      </c>
    </row>
    <row r="93" spans="1:15" x14ac:dyDescent="0.3">
      <c r="A93" s="67" t="s">
        <v>139</v>
      </c>
      <c r="B93" s="67" t="s">
        <v>133</v>
      </c>
      <c r="C93">
        <v>74.34</v>
      </c>
      <c r="D93">
        <v>0.33516600000000002</v>
      </c>
      <c r="E93">
        <v>0.37807200000000002</v>
      </c>
      <c r="F93">
        <v>0.13433600000000001</v>
      </c>
      <c r="G93">
        <v>2.2742209999999998</v>
      </c>
      <c r="H93">
        <v>0.120919</v>
      </c>
      <c r="I93">
        <v>1.7186669999999999</v>
      </c>
      <c r="J93">
        <v>1.377335</v>
      </c>
      <c r="K93">
        <v>11.74043</v>
      </c>
      <c r="L93">
        <v>15.256043</v>
      </c>
      <c r="M93">
        <v>11.978918999999999</v>
      </c>
      <c r="N93">
        <v>21.054981000000002</v>
      </c>
      <c r="O93">
        <v>16.858837000000001</v>
      </c>
    </row>
    <row r="94" spans="1:15" x14ac:dyDescent="0.3">
      <c r="A94" s="67" t="s">
        <v>139</v>
      </c>
      <c r="B94" s="67" t="s">
        <v>134</v>
      </c>
      <c r="C94">
        <v>236.98480000000001</v>
      </c>
      <c r="D94">
        <v>0.28116600000000003</v>
      </c>
      <c r="E94">
        <v>9.1579999999999995E-3</v>
      </c>
      <c r="F94">
        <v>0.47360000000000002</v>
      </c>
      <c r="G94">
        <v>1.506343</v>
      </c>
      <c r="H94">
        <v>3.1521309999999998</v>
      </c>
      <c r="I94">
        <v>3.7907649999999999</v>
      </c>
      <c r="J94">
        <v>2.876595</v>
      </c>
      <c r="K94">
        <v>8.5041510000000002</v>
      </c>
      <c r="L94">
        <v>17.564463</v>
      </c>
      <c r="M94">
        <v>17.846074999999999</v>
      </c>
      <c r="N94">
        <v>24.181507</v>
      </c>
      <c r="O94">
        <v>18.052859000000002</v>
      </c>
    </row>
    <row r="95" spans="1:15" x14ac:dyDescent="0.3">
      <c r="A95" s="67" t="s">
        <v>139</v>
      </c>
      <c r="B95" s="67" t="s">
        <v>135</v>
      </c>
      <c r="C95">
        <v>263.19510000000002</v>
      </c>
      <c r="D95">
        <v>0.124126</v>
      </c>
      <c r="E95">
        <v>0.30587799999999998</v>
      </c>
      <c r="F95">
        <v>0.23230600000000001</v>
      </c>
      <c r="G95">
        <v>0.96139200000000002</v>
      </c>
      <c r="H95">
        <v>4.6023509999999996</v>
      </c>
      <c r="I95">
        <v>1.215055</v>
      </c>
      <c r="J95">
        <v>0.82384400000000002</v>
      </c>
      <c r="K95">
        <v>10.995257000000001</v>
      </c>
      <c r="L95">
        <v>18.74888</v>
      </c>
      <c r="M95">
        <v>15.182632999999999</v>
      </c>
      <c r="N95">
        <v>21.970141999999999</v>
      </c>
      <c r="O95">
        <v>15.470726000000001</v>
      </c>
    </row>
    <row r="96" spans="1:15" x14ac:dyDescent="0.3">
      <c r="A96" s="67" t="s">
        <v>139</v>
      </c>
      <c r="B96" s="67" t="s">
        <v>173</v>
      </c>
      <c r="C96">
        <v>1567.4290000000001</v>
      </c>
      <c r="D96">
        <v>0.42753600000000003</v>
      </c>
      <c r="E96">
        <v>0.15409400000000001</v>
      </c>
      <c r="F96">
        <v>0.284912</v>
      </c>
      <c r="G96">
        <v>1.0194479999999999</v>
      </c>
      <c r="H96">
        <v>5.567914</v>
      </c>
      <c r="I96">
        <v>3.8848120000000002</v>
      </c>
      <c r="J96">
        <v>4.9328010000000004</v>
      </c>
      <c r="K96">
        <v>18.894926000000002</v>
      </c>
      <c r="L96">
        <v>25.670677999999999</v>
      </c>
      <c r="M96">
        <v>20.968707999999999</v>
      </c>
      <c r="N96">
        <v>24.152505000000001</v>
      </c>
      <c r="O96">
        <v>16.075203999999999</v>
      </c>
    </row>
    <row r="97" spans="1:15" x14ac:dyDescent="0.3">
      <c r="A97" s="67" t="s">
        <v>139</v>
      </c>
      <c r="B97" s="67" t="s">
        <v>136</v>
      </c>
      <c r="C97">
        <v>512.44680000000005</v>
      </c>
      <c r="D97">
        <v>0.26975700000000002</v>
      </c>
      <c r="E97">
        <v>6.4239000000000004E-2</v>
      </c>
      <c r="F97">
        <v>0.51415599999999995</v>
      </c>
      <c r="G97">
        <v>0.59738899999999995</v>
      </c>
      <c r="H97">
        <v>6.2988780000000002</v>
      </c>
      <c r="I97">
        <v>4.5559719999999997</v>
      </c>
      <c r="J97">
        <v>7.0839020000000001</v>
      </c>
      <c r="K97">
        <v>15.69955</v>
      </c>
      <c r="L97">
        <v>24.035442</v>
      </c>
      <c r="M97">
        <v>18.302941000000001</v>
      </c>
      <c r="N97">
        <v>22.480452</v>
      </c>
      <c r="O97">
        <v>17.126573</v>
      </c>
    </row>
    <row r="98" spans="1:15" x14ac:dyDescent="0.3">
      <c r="A98" s="67" t="s">
        <v>139</v>
      </c>
      <c r="B98" s="67" t="s">
        <v>174</v>
      </c>
      <c r="C98">
        <v>127.3</v>
      </c>
      <c r="D98">
        <v>0.31323400000000001</v>
      </c>
      <c r="E98">
        <v>0.55464400000000003</v>
      </c>
      <c r="F98">
        <v>0.75621700000000003</v>
      </c>
      <c r="G98">
        <v>2.4221979999999999</v>
      </c>
      <c r="H98">
        <v>1.3212349999999999</v>
      </c>
      <c r="I98">
        <v>2.1822650000000001</v>
      </c>
      <c r="J98">
        <v>1.4019440000000001</v>
      </c>
      <c r="K98">
        <v>7.2356629999999997</v>
      </c>
      <c r="L98">
        <v>17.129726999999999</v>
      </c>
      <c r="M98">
        <v>14.563426</v>
      </c>
      <c r="N98">
        <v>17.759847000000001</v>
      </c>
      <c r="O98">
        <v>15.289258999999999</v>
      </c>
    </row>
    <row r="99" spans="1:15" x14ac:dyDescent="0.3">
      <c r="A99" s="67" t="s">
        <v>139</v>
      </c>
      <c r="B99" s="67" t="s">
        <v>137</v>
      </c>
      <c r="C99">
        <v>52.41</v>
      </c>
      <c r="D99">
        <v>0.56915199999999999</v>
      </c>
      <c r="E99">
        <v>0.474744</v>
      </c>
      <c r="F99">
        <v>0.133741</v>
      </c>
      <c r="G99">
        <v>1.2994349999999999</v>
      </c>
      <c r="H99">
        <v>3.4952610000000002</v>
      </c>
      <c r="I99">
        <v>2.3632810000000002</v>
      </c>
      <c r="J99">
        <v>3.7616309999999999</v>
      </c>
      <c r="K99">
        <v>16.63213</v>
      </c>
      <c r="L99">
        <v>22.153414000000001</v>
      </c>
      <c r="M99">
        <v>16.563396000000001</v>
      </c>
      <c r="N99">
        <v>22.945542</v>
      </c>
      <c r="O99">
        <v>0</v>
      </c>
    </row>
    <row r="100" spans="1:15" x14ac:dyDescent="0.3">
      <c r="A100" s="67" t="s">
        <v>139</v>
      </c>
      <c r="B100" s="67" t="s">
        <v>175</v>
      </c>
      <c r="C100">
        <v>337.6216</v>
      </c>
      <c r="D100">
        <v>0.439882</v>
      </c>
      <c r="E100">
        <v>0.41298200000000002</v>
      </c>
      <c r="F100">
        <v>0.20044400000000001</v>
      </c>
      <c r="G100">
        <v>1.73953</v>
      </c>
      <c r="H100">
        <v>3.003476</v>
      </c>
      <c r="I100">
        <v>0.79835199999999995</v>
      </c>
      <c r="J100">
        <v>0.51103699999999996</v>
      </c>
      <c r="K100">
        <v>12.33445</v>
      </c>
      <c r="L100">
        <v>18.367756</v>
      </c>
      <c r="M100">
        <v>14.155561000000001</v>
      </c>
      <c r="N100">
        <v>19.314682999999999</v>
      </c>
      <c r="O100">
        <v>15.264037999999999</v>
      </c>
    </row>
    <row r="101" spans="1:15" x14ac:dyDescent="0.3">
      <c r="A101" s="67" t="s">
        <v>139</v>
      </c>
      <c r="B101" s="67" t="s">
        <v>138</v>
      </c>
      <c r="C101">
        <v>21.088999999999999</v>
      </c>
      <c r="D101">
        <v>0.59391899999999997</v>
      </c>
      <c r="E101">
        <v>0.29313</v>
      </c>
      <c r="F101">
        <v>0.24124899999999999</v>
      </c>
      <c r="G101">
        <v>2.3069440000000001</v>
      </c>
      <c r="H101">
        <v>5.7198719999999996</v>
      </c>
      <c r="I101">
        <v>5.2135300000000004</v>
      </c>
      <c r="J101">
        <v>6.9530380000000003</v>
      </c>
      <c r="K101">
        <v>20.679314000000002</v>
      </c>
      <c r="L101">
        <v>28.428474999999999</v>
      </c>
      <c r="M101">
        <v>0</v>
      </c>
      <c r="N101">
        <v>0</v>
      </c>
      <c r="O101">
        <v>0</v>
      </c>
    </row>
    <row r="102" spans="1:15" x14ac:dyDescent="0.3">
      <c r="A102" s="67" t="s">
        <v>165</v>
      </c>
      <c r="B102" s="67" t="s">
        <v>140</v>
      </c>
      <c r="C102">
        <v>96.750399999999999</v>
      </c>
      <c r="D102">
        <v>0.170767</v>
      </c>
      <c r="E102">
        <v>8.4619E-2</v>
      </c>
      <c r="F102">
        <v>0.204541</v>
      </c>
      <c r="G102">
        <v>2.627389</v>
      </c>
      <c r="H102">
        <v>2.1294559999999998</v>
      </c>
      <c r="I102">
        <v>1.893573</v>
      </c>
      <c r="J102">
        <v>2.324614</v>
      </c>
      <c r="K102">
        <v>9.739331</v>
      </c>
      <c r="L102">
        <v>19.782720999999999</v>
      </c>
      <c r="M102">
        <v>13.0063</v>
      </c>
      <c r="N102">
        <v>19.710370999999999</v>
      </c>
      <c r="O102">
        <v>13.948772999999999</v>
      </c>
    </row>
    <row r="103" spans="1:15" x14ac:dyDescent="0.3">
      <c r="A103" s="67" t="s">
        <v>165</v>
      </c>
      <c r="B103" s="67" t="s">
        <v>141</v>
      </c>
      <c r="C103">
        <v>121.94</v>
      </c>
      <c r="D103">
        <v>0.22909499999999999</v>
      </c>
      <c r="E103">
        <v>0.64377700000000004</v>
      </c>
      <c r="F103">
        <v>0.296101</v>
      </c>
      <c r="G103">
        <v>1.851256</v>
      </c>
      <c r="H103">
        <v>0.66870300000000005</v>
      </c>
      <c r="I103">
        <v>1.6692199999999999</v>
      </c>
      <c r="J103">
        <v>0.114679</v>
      </c>
      <c r="K103">
        <v>12.530426</v>
      </c>
      <c r="L103">
        <v>19.987717</v>
      </c>
      <c r="M103">
        <v>16.275659999999998</v>
      </c>
      <c r="N103">
        <v>23.663388999999999</v>
      </c>
      <c r="O103">
        <v>19.36045</v>
      </c>
    </row>
    <row r="104" spans="1:15" x14ac:dyDescent="0.3">
      <c r="A104" s="67" t="s">
        <v>165</v>
      </c>
      <c r="B104" s="67" t="s">
        <v>142</v>
      </c>
      <c r="C104">
        <v>50.924999999999997</v>
      </c>
      <c r="D104">
        <v>0.23508699999999999</v>
      </c>
      <c r="E104">
        <v>0.65621700000000005</v>
      </c>
      <c r="F104">
        <v>0.445768</v>
      </c>
      <c r="G104">
        <v>1.7157519999999999</v>
      </c>
      <c r="H104">
        <v>1.2707310000000001</v>
      </c>
      <c r="I104">
        <v>9.8086999999999994E-2</v>
      </c>
      <c r="J104">
        <v>0.64825999999999995</v>
      </c>
      <c r="K104">
        <v>21.267568000000001</v>
      </c>
      <c r="L104">
        <v>32.144193000000001</v>
      </c>
      <c r="M104">
        <v>22.628287</v>
      </c>
      <c r="N104">
        <v>27.817063999999998</v>
      </c>
      <c r="O104">
        <v>0</v>
      </c>
    </row>
    <row r="105" spans="1:15" x14ac:dyDescent="0.3">
      <c r="A105" s="67" t="s">
        <v>165</v>
      </c>
      <c r="B105" s="67" t="s">
        <v>143</v>
      </c>
      <c r="C105">
        <v>50.09</v>
      </c>
      <c r="D105">
        <v>0.45707500000000001</v>
      </c>
      <c r="E105">
        <v>0.60253100000000004</v>
      </c>
      <c r="F105">
        <v>0.360649</v>
      </c>
      <c r="G105">
        <v>3.6360139999999999</v>
      </c>
      <c r="H105">
        <v>1.7072210000000001</v>
      </c>
      <c r="I105">
        <v>3.7101109999999999</v>
      </c>
      <c r="J105">
        <v>8.2432680000000005</v>
      </c>
      <c r="K105">
        <v>10.617706</v>
      </c>
      <c r="L105">
        <v>21.187159000000001</v>
      </c>
      <c r="M105">
        <v>15.816504</v>
      </c>
      <c r="N105">
        <v>25.116077000000001</v>
      </c>
      <c r="O105">
        <v>0</v>
      </c>
    </row>
    <row r="106" spans="1:15" x14ac:dyDescent="0.3">
      <c r="A106" s="67" t="s">
        <v>165</v>
      </c>
      <c r="B106" s="67" t="s">
        <v>144</v>
      </c>
      <c r="C106">
        <v>13.238799999999999</v>
      </c>
      <c r="D106">
        <v>0.167408</v>
      </c>
      <c r="E106">
        <v>1.2868580000000001</v>
      </c>
      <c r="F106">
        <v>1.0965849999999999</v>
      </c>
      <c r="G106">
        <v>1.256778</v>
      </c>
      <c r="H106">
        <v>0.66686400000000001</v>
      </c>
      <c r="I106">
        <v>1.066398</v>
      </c>
      <c r="J106">
        <v>5.6252180000000003</v>
      </c>
      <c r="K106">
        <v>9.8147260000000003</v>
      </c>
      <c r="L106">
        <v>0</v>
      </c>
      <c r="M106">
        <v>0</v>
      </c>
      <c r="N106">
        <v>0</v>
      </c>
      <c r="O106">
        <v>0</v>
      </c>
    </row>
    <row r="107" spans="1:15" x14ac:dyDescent="0.3">
      <c r="A107" s="67" t="s">
        <v>165</v>
      </c>
      <c r="B107" s="67" t="s">
        <v>145</v>
      </c>
      <c r="C107">
        <v>42.62</v>
      </c>
      <c r="D107">
        <v>0.37400699999999998</v>
      </c>
      <c r="E107">
        <v>1.043148</v>
      </c>
      <c r="F107">
        <v>0.97133400000000003</v>
      </c>
      <c r="G107">
        <v>0.88372099999999998</v>
      </c>
      <c r="H107">
        <v>1.3796379999999999</v>
      </c>
      <c r="I107">
        <v>1.774602</v>
      </c>
      <c r="J107">
        <v>3.114344</v>
      </c>
      <c r="K107">
        <v>10.32691</v>
      </c>
      <c r="L107">
        <v>17.904499999999999</v>
      </c>
      <c r="M107">
        <v>15.838733</v>
      </c>
      <c r="N107">
        <v>25.558489000000002</v>
      </c>
      <c r="O107">
        <v>0</v>
      </c>
    </row>
    <row r="108" spans="1:15" x14ac:dyDescent="0.3">
      <c r="A108" s="67" t="s">
        <v>165</v>
      </c>
      <c r="B108" s="67" t="s">
        <v>146</v>
      </c>
      <c r="C108">
        <v>216.03100000000001</v>
      </c>
      <c r="D108">
        <v>0.571631</v>
      </c>
      <c r="E108">
        <v>0.49823200000000001</v>
      </c>
      <c r="F108">
        <v>0.86752300000000004</v>
      </c>
      <c r="G108">
        <v>0.73382099999999995</v>
      </c>
      <c r="H108">
        <v>1.666431</v>
      </c>
      <c r="I108">
        <v>1.444812</v>
      </c>
      <c r="J108">
        <v>1.4205270000000001</v>
      </c>
      <c r="K108">
        <v>12.026293000000001</v>
      </c>
      <c r="L108">
        <v>22.228338000000001</v>
      </c>
      <c r="M108">
        <v>16.730824999999999</v>
      </c>
      <c r="N108">
        <v>24.085556</v>
      </c>
      <c r="O108">
        <v>17.085705000000001</v>
      </c>
    </row>
    <row r="109" spans="1:15" x14ac:dyDescent="0.3">
      <c r="A109" s="67" t="s">
        <v>165</v>
      </c>
      <c r="B109" s="67" t="s">
        <v>147</v>
      </c>
      <c r="C109">
        <v>48.692</v>
      </c>
      <c r="D109">
        <v>0.13536200000000001</v>
      </c>
      <c r="E109">
        <v>0.97047099999999997</v>
      </c>
      <c r="F109">
        <v>1.357202</v>
      </c>
      <c r="G109">
        <v>0.95199299999999998</v>
      </c>
      <c r="H109">
        <v>2.1524779999999999</v>
      </c>
      <c r="I109">
        <v>0.60423000000000004</v>
      </c>
      <c r="J109">
        <v>0.74807900000000005</v>
      </c>
      <c r="K109">
        <v>12.400017</v>
      </c>
      <c r="L109">
        <v>22.503595000000001</v>
      </c>
      <c r="M109">
        <v>17.646512999999999</v>
      </c>
      <c r="N109">
        <v>26.506751999999999</v>
      </c>
      <c r="O109">
        <v>0</v>
      </c>
    </row>
    <row r="110" spans="1:15" x14ac:dyDescent="0.3">
      <c r="A110" s="67" t="s">
        <v>165</v>
      </c>
      <c r="B110" s="67" t="s">
        <v>148</v>
      </c>
      <c r="C110">
        <v>187.38579999999999</v>
      </c>
      <c r="D110">
        <v>8.8401999999999994E-2</v>
      </c>
      <c r="E110">
        <v>0.392762</v>
      </c>
      <c r="F110">
        <v>0.48923800000000001</v>
      </c>
      <c r="G110">
        <v>2.7398910000000001</v>
      </c>
      <c r="H110">
        <v>0.30846099999999999</v>
      </c>
      <c r="I110">
        <v>4.8181219999999998</v>
      </c>
      <c r="J110">
        <v>6.9909949999999998</v>
      </c>
      <c r="K110">
        <v>7.6111510000000004</v>
      </c>
      <c r="L110">
        <v>21.617048</v>
      </c>
      <c r="M110">
        <v>17.619700000000002</v>
      </c>
      <c r="N110">
        <v>24.429846999999999</v>
      </c>
      <c r="O110">
        <v>16.430429</v>
      </c>
    </row>
    <row r="111" spans="1:15" x14ac:dyDescent="0.3">
      <c r="A111" s="67" t="s">
        <v>165</v>
      </c>
      <c r="B111" s="67" t="s">
        <v>176</v>
      </c>
      <c r="C111">
        <v>157.66800000000001</v>
      </c>
      <c r="D111">
        <v>0.618973</v>
      </c>
      <c r="E111">
        <v>4.1243000000000002E-2</v>
      </c>
      <c r="F111">
        <v>0.16644900000000001</v>
      </c>
      <c r="G111">
        <v>2.2426140000000001</v>
      </c>
      <c r="H111">
        <v>1.430393</v>
      </c>
      <c r="I111">
        <v>0.155781</v>
      </c>
      <c r="J111">
        <v>0.65435399999999999</v>
      </c>
      <c r="K111">
        <v>10.994194</v>
      </c>
      <c r="L111">
        <v>22.359446999999999</v>
      </c>
      <c r="M111">
        <v>17.873162000000001</v>
      </c>
      <c r="N111">
        <v>26.20074</v>
      </c>
      <c r="O111">
        <v>18.881703000000002</v>
      </c>
    </row>
    <row r="112" spans="1:15" x14ac:dyDescent="0.3">
      <c r="A112" s="67" t="s">
        <v>165</v>
      </c>
      <c r="B112" s="67" t="s">
        <v>149</v>
      </c>
      <c r="C112">
        <v>87.302599999999998</v>
      </c>
      <c r="D112">
        <v>0.207923</v>
      </c>
      <c r="E112">
        <v>0.76744900000000005</v>
      </c>
      <c r="F112">
        <v>0.63665499999999997</v>
      </c>
      <c r="G112">
        <v>1.9057580000000001</v>
      </c>
      <c r="H112">
        <v>1.008257</v>
      </c>
      <c r="I112">
        <v>5.4259820000000003</v>
      </c>
      <c r="J112">
        <v>10.992642</v>
      </c>
      <c r="K112">
        <v>8.1478459999999995</v>
      </c>
      <c r="L112">
        <v>20.424726</v>
      </c>
      <c r="M112">
        <v>16.018321</v>
      </c>
      <c r="N112">
        <v>26.080207000000001</v>
      </c>
      <c r="O112">
        <v>18.722487999999998</v>
      </c>
    </row>
    <row r="113" spans="1:15" x14ac:dyDescent="0.3">
      <c r="A113" s="67" t="s">
        <v>165</v>
      </c>
      <c r="B113" s="67" t="s">
        <v>150</v>
      </c>
      <c r="C113">
        <v>96.48</v>
      </c>
      <c r="D113">
        <v>0.41288200000000003</v>
      </c>
      <c r="E113">
        <v>0.301487</v>
      </c>
      <c r="F113">
        <v>0.18622</v>
      </c>
      <c r="G113">
        <v>1.0664480000000001</v>
      </c>
      <c r="H113">
        <v>1.2992330000000001</v>
      </c>
      <c r="I113">
        <v>1.95122</v>
      </c>
      <c r="J113">
        <v>0.38497599999999998</v>
      </c>
      <c r="K113">
        <v>8.8832789999999999</v>
      </c>
      <c r="L113">
        <v>18.441341000000001</v>
      </c>
      <c r="M113">
        <v>15.635541</v>
      </c>
      <c r="N113">
        <v>23.868486999999998</v>
      </c>
      <c r="O113">
        <v>16.934405999999999</v>
      </c>
    </row>
    <row r="114" spans="1:15" x14ac:dyDescent="0.3">
      <c r="A114" s="67" t="s">
        <v>165</v>
      </c>
      <c r="B114" s="67" t="s">
        <v>151</v>
      </c>
      <c r="C114">
        <v>46.6</v>
      </c>
      <c r="D114">
        <v>0.21413299999999999</v>
      </c>
      <c r="E114">
        <v>0</v>
      </c>
      <c r="F114">
        <v>8.5911000000000001E-2</v>
      </c>
      <c r="G114">
        <v>2.2240869999999999</v>
      </c>
      <c r="H114">
        <v>2.9151940000000001</v>
      </c>
      <c r="I114">
        <v>0.21413299999999999</v>
      </c>
      <c r="J114">
        <v>0.87215500000000001</v>
      </c>
      <c r="K114">
        <v>17.736241</v>
      </c>
      <c r="L114">
        <v>26.992428</v>
      </c>
      <c r="M114">
        <v>20.380780000000001</v>
      </c>
      <c r="N114">
        <v>27.783429000000002</v>
      </c>
      <c r="O114">
        <v>0</v>
      </c>
    </row>
    <row r="115" spans="1:15" x14ac:dyDescent="0.3">
      <c r="A115" s="67" t="s">
        <v>165</v>
      </c>
      <c r="B115" s="67" t="s">
        <v>152</v>
      </c>
      <c r="C115">
        <v>31.354600000000001</v>
      </c>
      <c r="D115">
        <v>3.0627000000000001E-2</v>
      </c>
      <c r="E115">
        <v>1.2359629999999999</v>
      </c>
      <c r="F115">
        <v>1.513577</v>
      </c>
      <c r="G115">
        <v>2.028203</v>
      </c>
      <c r="H115">
        <v>1.4094979999999999</v>
      </c>
      <c r="I115">
        <v>1.40621</v>
      </c>
      <c r="J115">
        <v>2.400563</v>
      </c>
      <c r="K115">
        <v>15.765461</v>
      </c>
      <c r="L115">
        <v>28.105792999999998</v>
      </c>
      <c r="M115">
        <v>19.457125000000001</v>
      </c>
      <c r="N115">
        <v>22.554874000000002</v>
      </c>
      <c r="O115">
        <v>0</v>
      </c>
    </row>
    <row r="116" spans="1:15" x14ac:dyDescent="0.3">
      <c r="A116" s="67" t="s">
        <v>165</v>
      </c>
      <c r="B116" s="67" t="s">
        <v>153</v>
      </c>
      <c r="C116">
        <v>9.9265000000000008</v>
      </c>
      <c r="D116">
        <v>0.69527799999999995</v>
      </c>
      <c r="E116">
        <v>0.213115</v>
      </c>
      <c r="F116">
        <v>1.0151269999999999</v>
      </c>
      <c r="G116">
        <v>4.8839620000000004</v>
      </c>
      <c r="H116">
        <v>1.7732570000000001</v>
      </c>
      <c r="I116">
        <v>4.3745060000000002</v>
      </c>
      <c r="J116">
        <v>7.1291580000000003</v>
      </c>
      <c r="K116">
        <v>0</v>
      </c>
      <c r="L116">
        <v>0</v>
      </c>
      <c r="M116">
        <v>0</v>
      </c>
      <c r="N116">
        <v>0</v>
      </c>
      <c r="O116">
        <v>0</v>
      </c>
    </row>
    <row r="117" spans="1:15" x14ac:dyDescent="0.3">
      <c r="A117" s="67" t="s">
        <v>165</v>
      </c>
      <c r="B117" s="67" t="s">
        <v>154</v>
      </c>
      <c r="C117">
        <v>294.24400000000003</v>
      </c>
      <c r="D117">
        <v>0.26911800000000002</v>
      </c>
      <c r="E117">
        <v>0.37455699999999997</v>
      </c>
      <c r="F117">
        <v>9.6765000000000004E-2</v>
      </c>
      <c r="G117">
        <v>1.5521119999999999</v>
      </c>
      <c r="H117">
        <v>1.808692</v>
      </c>
      <c r="I117">
        <v>5.1339920000000001</v>
      </c>
      <c r="J117">
        <v>8.2485959999999992</v>
      </c>
      <c r="K117">
        <v>8.3658040000000007</v>
      </c>
      <c r="L117">
        <v>17.213574999999999</v>
      </c>
      <c r="M117">
        <v>12.56011</v>
      </c>
      <c r="N117">
        <v>22.618656999999999</v>
      </c>
      <c r="O117">
        <v>18.270993000000001</v>
      </c>
    </row>
    <row r="118" spans="1:15" x14ac:dyDescent="0.3">
      <c r="A118" s="67" t="s">
        <v>165</v>
      </c>
      <c r="B118" s="67" t="s">
        <v>155</v>
      </c>
      <c r="C118">
        <v>33.072800000000001</v>
      </c>
      <c r="D118">
        <v>1.8140000000000001E-3</v>
      </c>
      <c r="E118">
        <v>1.1818329999999999</v>
      </c>
      <c r="F118">
        <v>1.5269189999999999</v>
      </c>
      <c r="G118">
        <v>1.4476169999999999</v>
      </c>
      <c r="H118">
        <v>1.9295150000000001</v>
      </c>
      <c r="I118">
        <v>2.3900169999999998</v>
      </c>
      <c r="J118">
        <v>12.219488</v>
      </c>
      <c r="K118">
        <v>11.571202</v>
      </c>
      <c r="L118">
        <v>19.128779999999999</v>
      </c>
      <c r="M118">
        <v>15.537575</v>
      </c>
      <c r="N118">
        <v>24.006703999999999</v>
      </c>
      <c r="O118">
        <v>0</v>
      </c>
    </row>
    <row r="119" spans="1:15" x14ac:dyDescent="0.3">
      <c r="A119" s="67" t="s">
        <v>165</v>
      </c>
      <c r="B119" s="67" t="s">
        <v>156</v>
      </c>
      <c r="C119">
        <v>20.330200000000001</v>
      </c>
      <c r="D119">
        <v>0.28545599999999999</v>
      </c>
      <c r="E119">
        <v>0.65900599999999998</v>
      </c>
      <c r="F119">
        <v>0.83474300000000001</v>
      </c>
      <c r="G119">
        <v>1.3092299999999999</v>
      </c>
      <c r="H119">
        <v>2.290829</v>
      </c>
      <c r="I119">
        <v>1.402058</v>
      </c>
      <c r="J119">
        <v>0.813778</v>
      </c>
      <c r="K119">
        <v>13.773147</v>
      </c>
      <c r="L119">
        <v>27.639212000000001</v>
      </c>
      <c r="M119">
        <v>0</v>
      </c>
      <c r="N119">
        <v>0</v>
      </c>
      <c r="O119">
        <v>0</v>
      </c>
    </row>
    <row r="120" spans="1:15" x14ac:dyDescent="0.3">
      <c r="A120" s="67" t="s">
        <v>165</v>
      </c>
      <c r="B120" s="67" t="s">
        <v>157</v>
      </c>
      <c r="C120">
        <v>14.348800000000001</v>
      </c>
      <c r="D120">
        <v>0.16559299999999999</v>
      </c>
      <c r="E120">
        <v>1.054292</v>
      </c>
      <c r="F120">
        <v>0.68344199999999999</v>
      </c>
      <c r="G120">
        <v>2.5217390000000002</v>
      </c>
      <c r="H120">
        <v>1.405664</v>
      </c>
      <c r="I120">
        <v>0.34125899999999998</v>
      </c>
      <c r="J120">
        <v>4.0599090000000002</v>
      </c>
      <c r="K120">
        <v>19.771685000000002</v>
      </c>
      <c r="L120">
        <v>0</v>
      </c>
      <c r="M120">
        <v>0</v>
      </c>
      <c r="N120">
        <v>0</v>
      </c>
      <c r="O120">
        <v>0</v>
      </c>
    </row>
    <row r="121" spans="1:15" x14ac:dyDescent="0.3">
      <c r="A121" s="67" t="s">
        <v>165</v>
      </c>
      <c r="B121" s="67" t="s">
        <v>177</v>
      </c>
      <c r="C121">
        <v>186.524</v>
      </c>
      <c r="D121">
        <v>0.14695</v>
      </c>
      <c r="E121">
        <v>0.66728699999999996</v>
      </c>
      <c r="F121">
        <v>0.37480999999999998</v>
      </c>
      <c r="G121">
        <v>1.9869140000000001</v>
      </c>
      <c r="H121">
        <v>3.6978999999999998E-2</v>
      </c>
      <c r="I121">
        <v>2.7121309999999998</v>
      </c>
      <c r="J121">
        <v>4.0305580000000001</v>
      </c>
      <c r="K121">
        <v>10.862572</v>
      </c>
      <c r="L121">
        <v>23.219843999999998</v>
      </c>
      <c r="M121">
        <v>19.551603</v>
      </c>
      <c r="N121">
        <v>28.728438000000001</v>
      </c>
      <c r="O121">
        <v>20.812000000000001</v>
      </c>
    </row>
    <row r="122" spans="1:15" x14ac:dyDescent="0.3">
      <c r="A122" s="67" t="s">
        <v>165</v>
      </c>
      <c r="B122" s="67" t="s">
        <v>158</v>
      </c>
      <c r="C122">
        <v>17.25</v>
      </c>
      <c r="D122">
        <v>0.28901700000000002</v>
      </c>
      <c r="E122">
        <v>0.58309</v>
      </c>
      <c r="F122">
        <v>0.46162700000000001</v>
      </c>
      <c r="G122">
        <v>2.0998860000000001</v>
      </c>
      <c r="H122">
        <v>0.17361099999999999</v>
      </c>
      <c r="I122">
        <v>0.81823500000000005</v>
      </c>
      <c r="J122">
        <v>1.590106</v>
      </c>
      <c r="K122">
        <v>11.43234</v>
      </c>
      <c r="L122">
        <v>16.35275</v>
      </c>
      <c r="M122">
        <v>11.626873</v>
      </c>
      <c r="N122">
        <v>0</v>
      </c>
      <c r="O122">
        <v>0</v>
      </c>
    </row>
    <row r="123" spans="1:15" x14ac:dyDescent="0.3">
      <c r="A123" s="67" t="s">
        <v>165</v>
      </c>
      <c r="B123" s="67" t="s">
        <v>159</v>
      </c>
      <c r="C123">
        <v>273.8732</v>
      </c>
      <c r="D123">
        <v>0.25167200000000001</v>
      </c>
      <c r="E123">
        <v>0.30827900000000003</v>
      </c>
      <c r="F123">
        <v>0.56717499999999998</v>
      </c>
      <c r="G123">
        <v>2.738435</v>
      </c>
      <c r="H123">
        <v>0.200457</v>
      </c>
      <c r="I123">
        <v>2.2002280000000001</v>
      </c>
      <c r="J123">
        <v>1.744872</v>
      </c>
      <c r="K123">
        <v>10.534587999999999</v>
      </c>
      <c r="L123">
        <v>22.961777999999999</v>
      </c>
      <c r="M123">
        <v>19.573651999999999</v>
      </c>
      <c r="N123">
        <v>31.227277000000001</v>
      </c>
      <c r="O123">
        <v>19.94725</v>
      </c>
    </row>
    <row r="124" spans="1:15" x14ac:dyDescent="0.3">
      <c r="A124" s="67" t="s">
        <v>165</v>
      </c>
      <c r="B124" s="67" t="s">
        <v>160</v>
      </c>
      <c r="C124">
        <v>12.98</v>
      </c>
      <c r="D124">
        <v>0.38373000000000002</v>
      </c>
      <c r="E124">
        <v>0.542215</v>
      </c>
      <c r="F124">
        <v>0.69821599999999995</v>
      </c>
      <c r="G124">
        <v>1.142422</v>
      </c>
      <c r="H124">
        <v>2.689873</v>
      </c>
      <c r="I124">
        <v>0.30911899999999998</v>
      </c>
      <c r="J124">
        <v>5.2716950000000002</v>
      </c>
      <c r="K124">
        <v>11.441513</v>
      </c>
      <c r="L124">
        <v>0</v>
      </c>
      <c r="M124">
        <v>0</v>
      </c>
      <c r="N124">
        <v>0</v>
      </c>
      <c r="O124">
        <v>0</v>
      </c>
    </row>
    <row r="125" spans="1:15" x14ac:dyDescent="0.3">
      <c r="A125" s="67" t="s">
        <v>165</v>
      </c>
      <c r="B125" s="67" t="s">
        <v>161</v>
      </c>
      <c r="C125">
        <v>192.59129999999999</v>
      </c>
      <c r="D125">
        <v>0.35879699999999998</v>
      </c>
      <c r="E125">
        <v>0.77209799999999995</v>
      </c>
      <c r="F125">
        <v>0.131851</v>
      </c>
      <c r="G125">
        <v>1.6666369999999999</v>
      </c>
      <c r="H125">
        <v>0.77590000000000003</v>
      </c>
      <c r="I125">
        <v>2.3512309999999998</v>
      </c>
      <c r="J125">
        <v>4.2649739999999996</v>
      </c>
      <c r="K125">
        <v>9.9384049999999995</v>
      </c>
      <c r="L125">
        <v>15.400762</v>
      </c>
      <c r="M125">
        <v>14.257913</v>
      </c>
      <c r="N125">
        <v>20.357475000000001</v>
      </c>
      <c r="O125">
        <v>18.694348999999999</v>
      </c>
    </row>
    <row r="126" spans="1:15" x14ac:dyDescent="0.3">
      <c r="A126" s="67" t="s">
        <v>165</v>
      </c>
      <c r="B126" s="67" t="s">
        <v>178</v>
      </c>
      <c r="C126">
        <v>287.84469999999999</v>
      </c>
      <c r="D126">
        <v>0.11167199999999999</v>
      </c>
      <c r="E126">
        <v>0.69203700000000001</v>
      </c>
      <c r="F126">
        <v>0.200021</v>
      </c>
      <c r="G126">
        <v>2.332592</v>
      </c>
      <c r="H126">
        <v>1.5954140000000001</v>
      </c>
      <c r="I126">
        <v>0.77265700000000004</v>
      </c>
      <c r="J126">
        <v>1.3586210000000001</v>
      </c>
      <c r="K126">
        <v>10.922758</v>
      </c>
      <c r="L126">
        <v>21.884678000000001</v>
      </c>
      <c r="M126">
        <v>16.365839000000001</v>
      </c>
      <c r="N126">
        <v>24.257794000000001</v>
      </c>
      <c r="O126">
        <v>14.513957</v>
      </c>
    </row>
    <row r="127" spans="1:15" x14ac:dyDescent="0.3">
      <c r="A127" s="67" t="s">
        <v>165</v>
      </c>
      <c r="B127" s="67" t="s">
        <v>162</v>
      </c>
      <c r="C127">
        <v>41.235199999999999</v>
      </c>
      <c r="D127">
        <v>0.67851899999999998</v>
      </c>
      <c r="E127">
        <v>0.193633</v>
      </c>
      <c r="F127">
        <v>0.51725500000000002</v>
      </c>
      <c r="G127">
        <v>2.844325</v>
      </c>
      <c r="H127">
        <v>7.2230030000000003</v>
      </c>
      <c r="I127">
        <v>8.699166</v>
      </c>
      <c r="J127">
        <v>11.178125</v>
      </c>
      <c r="K127">
        <v>8.6359239999999993</v>
      </c>
      <c r="L127">
        <v>17.692385000000002</v>
      </c>
      <c r="M127">
        <v>16.012270999999998</v>
      </c>
      <c r="N127">
        <v>25.911802000000002</v>
      </c>
      <c r="O127">
        <v>0</v>
      </c>
    </row>
    <row r="128" spans="1:15" x14ac:dyDescent="0.3">
      <c r="A128" s="67" t="s">
        <v>165</v>
      </c>
      <c r="B128" s="67" t="s">
        <v>163</v>
      </c>
      <c r="C128">
        <v>54.2</v>
      </c>
      <c r="D128">
        <v>0.27598899999999998</v>
      </c>
      <c r="E128">
        <v>0.85597299999999998</v>
      </c>
      <c r="F128">
        <v>1.384212</v>
      </c>
      <c r="G128">
        <v>2.4478040000000001</v>
      </c>
      <c r="H128">
        <v>0.64995400000000003</v>
      </c>
      <c r="I128">
        <v>1.8988529999999999</v>
      </c>
      <c r="J128">
        <v>3.1624080000000001</v>
      </c>
      <c r="K128">
        <v>10.144532999999999</v>
      </c>
      <c r="L128">
        <v>20.542763999999998</v>
      </c>
      <c r="M128">
        <v>15.553053</v>
      </c>
      <c r="N128">
        <v>23.289061</v>
      </c>
      <c r="O128">
        <v>15.770022000000001</v>
      </c>
    </row>
    <row r="129" spans="1:15" x14ac:dyDescent="0.3">
      <c r="A129" s="67" t="s">
        <v>165</v>
      </c>
      <c r="B129" s="67" t="s">
        <v>164</v>
      </c>
      <c r="C129">
        <v>27.3734</v>
      </c>
      <c r="D129">
        <v>0.44190000000000002</v>
      </c>
      <c r="E129">
        <v>0.1588</v>
      </c>
      <c r="F129">
        <v>0.37124099999999999</v>
      </c>
      <c r="G129">
        <v>2.9642390000000001</v>
      </c>
      <c r="H129">
        <v>7.3099999999999999E-4</v>
      </c>
      <c r="I129">
        <v>3.2129859999999999</v>
      </c>
      <c r="J129">
        <v>3.8716949999999999</v>
      </c>
      <c r="K129">
        <v>11.422836999999999</v>
      </c>
      <c r="L129">
        <v>19.813269999999999</v>
      </c>
      <c r="M129">
        <v>15.196529</v>
      </c>
      <c r="N129">
        <v>22.248486</v>
      </c>
      <c r="O129">
        <v>0</v>
      </c>
    </row>
    <row r="130" spans="1:15" x14ac:dyDescent="0.3">
      <c r="A130" s="67" t="s">
        <v>15</v>
      </c>
      <c r="B130" s="67" t="s">
        <v>16</v>
      </c>
      <c r="C130">
        <v>21.13</v>
      </c>
      <c r="D130">
        <v>0.28315200000000001</v>
      </c>
      <c r="E130">
        <v>0</v>
      </c>
      <c r="F130">
        <v>0.236072</v>
      </c>
      <c r="G130">
        <v>1.8578730000000001</v>
      </c>
      <c r="H130">
        <v>2.9727100000000002</v>
      </c>
      <c r="I130">
        <v>0.81106900000000004</v>
      </c>
      <c r="J130">
        <v>3.2242310000000001</v>
      </c>
      <c r="K130">
        <v>13.602398000000001</v>
      </c>
      <c r="L130">
        <v>18.739813000000002</v>
      </c>
      <c r="M130">
        <v>14.36895</v>
      </c>
      <c r="N130">
        <v>0</v>
      </c>
      <c r="O130">
        <v>0</v>
      </c>
    </row>
    <row r="131" spans="1:15" x14ac:dyDescent="0.3">
      <c r="A131" s="67" t="s">
        <v>15</v>
      </c>
      <c r="B131" s="67" t="s">
        <v>17</v>
      </c>
      <c r="C131">
        <v>19.010000000000002</v>
      </c>
      <c r="D131">
        <v>0.419068</v>
      </c>
      <c r="E131">
        <v>0.21085899999999999</v>
      </c>
      <c r="F131">
        <v>0.26371299999999998</v>
      </c>
      <c r="G131">
        <v>1.6554580000000001</v>
      </c>
      <c r="H131">
        <v>2.2592789999999998</v>
      </c>
      <c r="I131">
        <v>1.224707</v>
      </c>
      <c r="J131">
        <v>2.535059</v>
      </c>
      <c r="K131">
        <v>17.654207</v>
      </c>
      <c r="L131">
        <v>24.162231999999999</v>
      </c>
      <c r="M131">
        <v>17.391597000000001</v>
      </c>
      <c r="N131">
        <v>0</v>
      </c>
      <c r="O131">
        <v>0</v>
      </c>
    </row>
    <row r="132" spans="1:15" x14ac:dyDescent="0.3">
      <c r="A132" s="67" t="s">
        <v>15</v>
      </c>
      <c r="B132" s="67" t="s">
        <v>18</v>
      </c>
      <c r="C132">
        <v>18.562999999999999</v>
      </c>
      <c r="D132">
        <v>0.247192</v>
      </c>
      <c r="E132">
        <v>0.210538</v>
      </c>
      <c r="F132">
        <v>0.10785699999999999</v>
      </c>
      <c r="G132">
        <v>0.64229499999999995</v>
      </c>
      <c r="H132">
        <v>3.7502789999999999</v>
      </c>
      <c r="I132">
        <v>1.648231</v>
      </c>
      <c r="J132">
        <v>5.941103</v>
      </c>
      <c r="K132">
        <v>14.088106</v>
      </c>
      <c r="L132">
        <v>19.619450000000001</v>
      </c>
      <c r="M132">
        <v>16.900251000000001</v>
      </c>
      <c r="N132">
        <v>0</v>
      </c>
      <c r="O132">
        <v>0</v>
      </c>
    </row>
    <row r="133" spans="1:15" x14ac:dyDescent="0.3">
      <c r="A133" s="67" t="s">
        <v>15</v>
      </c>
      <c r="B133" s="67" t="s">
        <v>19</v>
      </c>
      <c r="C133">
        <v>19.170000000000002</v>
      </c>
      <c r="D133">
        <v>0.31201200000000001</v>
      </c>
      <c r="E133">
        <v>0.577125</v>
      </c>
      <c r="F133">
        <v>0.94786700000000002</v>
      </c>
      <c r="G133">
        <v>0.52438399999999996</v>
      </c>
      <c r="H133">
        <v>6.5591999999999997</v>
      </c>
      <c r="I133">
        <v>4.6968870000000003</v>
      </c>
      <c r="J133">
        <v>7.6361590000000001</v>
      </c>
      <c r="K133">
        <v>16.055130999999999</v>
      </c>
      <c r="L133">
        <v>0</v>
      </c>
      <c r="M133">
        <v>0</v>
      </c>
      <c r="N133">
        <v>0</v>
      </c>
      <c r="O133">
        <v>0</v>
      </c>
    </row>
    <row r="134" spans="1:15" x14ac:dyDescent="0.3">
      <c r="A134" s="67" t="s">
        <v>15</v>
      </c>
      <c r="B134" s="67" t="s">
        <v>20</v>
      </c>
      <c r="C134">
        <v>324.6798</v>
      </c>
      <c r="D134">
        <v>0.23444999999999999</v>
      </c>
      <c r="E134">
        <v>1.2300000000000001E-4</v>
      </c>
      <c r="F134">
        <v>0.114658</v>
      </c>
      <c r="G134">
        <v>1.66835</v>
      </c>
      <c r="H134">
        <v>3.2090239999999999</v>
      </c>
      <c r="I134">
        <v>1.4732510000000001</v>
      </c>
      <c r="J134">
        <v>1.656585</v>
      </c>
      <c r="K134">
        <v>14.831287</v>
      </c>
      <c r="L134">
        <v>20.412987000000001</v>
      </c>
      <c r="M134">
        <v>14.806718</v>
      </c>
      <c r="N134">
        <v>20.829522999999998</v>
      </c>
      <c r="O134">
        <v>15.542674999999999</v>
      </c>
    </row>
    <row r="135" spans="1:15" x14ac:dyDescent="0.3">
      <c r="A135" s="67" t="s">
        <v>15</v>
      </c>
      <c r="B135" s="67" t="s">
        <v>21</v>
      </c>
      <c r="C135">
        <v>15.39</v>
      </c>
      <c r="D135">
        <v>0.38834999999999997</v>
      </c>
      <c r="E135">
        <v>0.19531299999999999</v>
      </c>
      <c r="F135">
        <v>0.26058599999999998</v>
      </c>
      <c r="G135">
        <v>0.77369399999999999</v>
      </c>
      <c r="H135">
        <v>4.1976979999999999</v>
      </c>
      <c r="I135">
        <v>1.8530770000000001</v>
      </c>
      <c r="J135">
        <v>6.2845300000000002</v>
      </c>
      <c r="K135">
        <v>15.073285</v>
      </c>
      <c r="L135">
        <v>0</v>
      </c>
      <c r="M135">
        <v>0</v>
      </c>
      <c r="N135">
        <v>0</v>
      </c>
      <c r="O135">
        <v>0</v>
      </c>
    </row>
    <row r="136" spans="1:15" x14ac:dyDescent="0.3">
      <c r="A136" s="67" t="s">
        <v>15</v>
      </c>
      <c r="B136" s="67" t="s">
        <v>22</v>
      </c>
      <c r="C136">
        <v>12.394</v>
      </c>
      <c r="D136">
        <v>0.14502100000000001</v>
      </c>
      <c r="E136">
        <v>0.12926199999999999</v>
      </c>
      <c r="F136">
        <v>0.12088</v>
      </c>
      <c r="G136">
        <v>1.478537</v>
      </c>
      <c r="H136">
        <v>1.0352980000000001</v>
      </c>
      <c r="I136">
        <v>0.56959499999999996</v>
      </c>
      <c r="J136">
        <v>1.77369</v>
      </c>
      <c r="K136">
        <v>0</v>
      </c>
      <c r="L136">
        <v>0</v>
      </c>
      <c r="M136">
        <v>0</v>
      </c>
      <c r="N136">
        <v>0</v>
      </c>
      <c r="O136">
        <v>0</v>
      </c>
    </row>
    <row r="137" spans="1:15" x14ac:dyDescent="0.3">
      <c r="A137" s="67" t="s">
        <v>15</v>
      </c>
      <c r="B137" s="67" t="s">
        <v>23</v>
      </c>
      <c r="C137">
        <v>15.821999999999999</v>
      </c>
      <c r="D137">
        <v>0.32255600000000001</v>
      </c>
      <c r="E137">
        <v>0.47691899999999998</v>
      </c>
      <c r="F137">
        <v>0.33928399999999997</v>
      </c>
      <c r="G137">
        <v>0.63305400000000001</v>
      </c>
      <c r="H137">
        <v>5.0827869999999997</v>
      </c>
      <c r="I137">
        <v>1.2238739999999999</v>
      </c>
      <c r="J137">
        <v>2.614989</v>
      </c>
      <c r="K137">
        <v>16.244499000000001</v>
      </c>
      <c r="L137">
        <v>0</v>
      </c>
      <c r="M137">
        <v>0</v>
      </c>
      <c r="N137">
        <v>0</v>
      </c>
      <c r="O137">
        <v>0</v>
      </c>
    </row>
    <row r="138" spans="1:15" x14ac:dyDescent="0.3">
      <c r="A138" s="67" t="s">
        <v>15</v>
      </c>
      <c r="B138" s="67" t="s">
        <v>24</v>
      </c>
      <c r="C138">
        <v>10.7818</v>
      </c>
      <c r="D138">
        <v>0.40827599999999997</v>
      </c>
      <c r="E138">
        <v>6.4881999999999995E-2</v>
      </c>
      <c r="F138">
        <v>7.2291999999999995E-2</v>
      </c>
      <c r="G138">
        <v>1.3369450000000001</v>
      </c>
      <c r="H138">
        <v>4.1719809999999997</v>
      </c>
      <c r="I138">
        <v>3.9831029999999998</v>
      </c>
      <c r="J138">
        <v>6.2298640000000001</v>
      </c>
      <c r="K138">
        <v>0</v>
      </c>
      <c r="L138">
        <v>0</v>
      </c>
      <c r="M138">
        <v>0</v>
      </c>
      <c r="N138">
        <v>0</v>
      </c>
      <c r="O138">
        <v>0</v>
      </c>
    </row>
    <row r="139" spans="1:15" x14ac:dyDescent="0.3">
      <c r="A139" s="67" t="s">
        <v>15</v>
      </c>
      <c r="B139" s="67" t="s">
        <v>25</v>
      </c>
      <c r="C139">
        <v>20.077999999999999</v>
      </c>
      <c r="D139">
        <v>0.50545099999999998</v>
      </c>
      <c r="E139">
        <v>1.4944000000000001E-2</v>
      </c>
      <c r="F139">
        <v>0.25832100000000002</v>
      </c>
      <c r="G139">
        <v>1.5108410000000001</v>
      </c>
      <c r="H139">
        <v>3.0063620000000002</v>
      </c>
      <c r="I139">
        <v>0.27468399999999998</v>
      </c>
      <c r="J139">
        <v>2.9377080000000002</v>
      </c>
      <c r="K139">
        <v>12.965498</v>
      </c>
      <c r="L139">
        <v>21.950717000000001</v>
      </c>
      <c r="M139">
        <v>19.520492000000001</v>
      </c>
      <c r="N139">
        <v>0</v>
      </c>
      <c r="O139">
        <v>0</v>
      </c>
    </row>
    <row r="140" spans="1:15" x14ac:dyDescent="0.3">
      <c r="A140" s="67" t="s">
        <v>15</v>
      </c>
      <c r="B140" s="67" t="s">
        <v>26</v>
      </c>
      <c r="C140">
        <v>19.686599999999999</v>
      </c>
      <c r="D140">
        <v>0.40321200000000001</v>
      </c>
      <c r="E140">
        <v>0.289356</v>
      </c>
      <c r="F140">
        <v>0.23982300000000001</v>
      </c>
      <c r="G140">
        <v>1.3865369999999999</v>
      </c>
      <c r="H140">
        <v>3.358009</v>
      </c>
      <c r="I140">
        <v>1.8700969999999999</v>
      </c>
      <c r="J140">
        <v>2.2048709999999998</v>
      </c>
      <c r="K140">
        <v>15.682248</v>
      </c>
      <c r="L140">
        <v>0</v>
      </c>
      <c r="M140">
        <v>0</v>
      </c>
      <c r="N140">
        <v>0</v>
      </c>
      <c r="O140">
        <v>0</v>
      </c>
    </row>
    <row r="141" spans="1:15" x14ac:dyDescent="0.3">
      <c r="A141" s="67" t="s">
        <v>15</v>
      </c>
      <c r="B141" s="67" t="s">
        <v>27</v>
      </c>
      <c r="C141">
        <v>896.38</v>
      </c>
      <c r="D141">
        <v>0.24594099999999999</v>
      </c>
      <c r="E141">
        <v>0.71006400000000003</v>
      </c>
      <c r="F141">
        <v>0.86985900000000005</v>
      </c>
      <c r="G141">
        <v>0.48294199999999998</v>
      </c>
      <c r="H141">
        <v>3.3481679999999998</v>
      </c>
      <c r="I141">
        <v>0.55077600000000004</v>
      </c>
      <c r="J141">
        <v>5.5048789999999999</v>
      </c>
      <c r="K141">
        <v>14.181456000000001</v>
      </c>
      <c r="L141">
        <v>21.120365</v>
      </c>
      <c r="M141">
        <v>17.272043</v>
      </c>
      <c r="N141">
        <v>21.027916000000001</v>
      </c>
      <c r="O141">
        <v>16.007045999999999</v>
      </c>
    </row>
    <row r="142" spans="1:15" x14ac:dyDescent="0.3">
      <c r="A142" s="67" t="s">
        <v>15</v>
      </c>
      <c r="B142" s="67" t="s">
        <v>28</v>
      </c>
      <c r="C142">
        <v>151.77000000000001</v>
      </c>
      <c r="D142">
        <v>0.543906</v>
      </c>
      <c r="E142">
        <v>0.23663999999999999</v>
      </c>
      <c r="F142">
        <v>0.758517</v>
      </c>
      <c r="G142">
        <v>3.2140810000000002</v>
      </c>
      <c r="H142">
        <v>7.9130000000000006E-2</v>
      </c>
      <c r="I142">
        <v>4.3727549999999997</v>
      </c>
      <c r="J142">
        <v>5.3979929999999996</v>
      </c>
      <c r="K142">
        <v>12.042280999999999</v>
      </c>
      <c r="L142">
        <v>18.851519</v>
      </c>
      <c r="M142">
        <v>13.927177</v>
      </c>
      <c r="N142">
        <v>19.054973</v>
      </c>
      <c r="O142">
        <v>15.244415999999999</v>
      </c>
    </row>
    <row r="143" spans="1:15" x14ac:dyDescent="0.3">
      <c r="A143" s="67" t="s">
        <v>15</v>
      </c>
      <c r="B143" s="67" t="s">
        <v>29</v>
      </c>
      <c r="C143">
        <v>27.387</v>
      </c>
      <c r="D143">
        <v>0.133462</v>
      </c>
      <c r="E143">
        <v>0.74416899999999997</v>
      </c>
      <c r="F143">
        <v>1.1934670000000001</v>
      </c>
      <c r="G143">
        <v>0.41271999999999998</v>
      </c>
      <c r="H143">
        <v>5.3504180000000003</v>
      </c>
      <c r="I143">
        <v>1.766146</v>
      </c>
      <c r="J143">
        <v>4.0535560000000004</v>
      </c>
      <c r="K143">
        <v>13.491997</v>
      </c>
      <c r="L143">
        <v>22.162621000000001</v>
      </c>
      <c r="M143">
        <v>17.769137000000001</v>
      </c>
      <c r="N143">
        <v>18.547250999999999</v>
      </c>
      <c r="O143">
        <v>0</v>
      </c>
    </row>
    <row r="144" spans="1:15" x14ac:dyDescent="0.3">
      <c r="A144" s="67" t="s">
        <v>15</v>
      </c>
      <c r="B144" s="67" t="s">
        <v>30</v>
      </c>
      <c r="C144">
        <v>21.289000000000001</v>
      </c>
      <c r="D144">
        <v>0.402339</v>
      </c>
      <c r="E144">
        <v>0.67149000000000003</v>
      </c>
      <c r="F144">
        <v>0.58587299999999998</v>
      </c>
      <c r="G144">
        <v>0.81993899999999997</v>
      </c>
      <c r="H144">
        <v>5.2035980000000004</v>
      </c>
      <c r="I144">
        <v>6.3014929999999998</v>
      </c>
      <c r="J144">
        <v>6.8885880000000004</v>
      </c>
      <c r="K144">
        <v>18.231971999999999</v>
      </c>
      <c r="L144">
        <v>25.611017</v>
      </c>
      <c r="M144">
        <v>22.241882</v>
      </c>
      <c r="N144">
        <v>0</v>
      </c>
      <c r="O144">
        <v>0</v>
      </c>
    </row>
    <row r="145" spans="1:15" x14ac:dyDescent="0.3">
      <c r="A145" s="67" t="s">
        <v>15</v>
      </c>
      <c r="B145" s="67" t="s">
        <v>31</v>
      </c>
      <c r="C145">
        <v>18.221699999999998</v>
      </c>
      <c r="D145">
        <v>0.44201400000000002</v>
      </c>
      <c r="E145">
        <v>0.30275200000000002</v>
      </c>
      <c r="F145">
        <v>0.13463600000000001</v>
      </c>
      <c r="G145">
        <v>1.161327</v>
      </c>
      <c r="H145">
        <v>3.763496</v>
      </c>
      <c r="I145">
        <v>2.2002980000000001</v>
      </c>
      <c r="J145">
        <v>2.2088969999999999</v>
      </c>
      <c r="K145">
        <v>17.920662</v>
      </c>
      <c r="L145">
        <v>22.838654999999999</v>
      </c>
      <c r="M145">
        <v>0</v>
      </c>
      <c r="N145">
        <v>0</v>
      </c>
      <c r="O145">
        <v>0</v>
      </c>
    </row>
    <row r="146" spans="1:15" x14ac:dyDescent="0.3">
      <c r="A146" s="67" t="s">
        <v>15</v>
      </c>
      <c r="B146" s="67" t="s">
        <v>32</v>
      </c>
      <c r="C146">
        <v>41.916600000000003</v>
      </c>
      <c r="D146">
        <v>0.33857199999999998</v>
      </c>
      <c r="E146">
        <v>0.43368299999999999</v>
      </c>
      <c r="F146">
        <v>0.51725500000000002</v>
      </c>
      <c r="G146">
        <v>1.2807230000000001</v>
      </c>
      <c r="H146">
        <v>4.6962260000000002</v>
      </c>
      <c r="I146">
        <v>1.2397560000000001</v>
      </c>
      <c r="J146">
        <v>4.74803</v>
      </c>
      <c r="K146">
        <v>14.914705</v>
      </c>
      <c r="L146">
        <v>22.268968999999998</v>
      </c>
      <c r="M146">
        <v>17.315017999999998</v>
      </c>
      <c r="N146">
        <v>23.624762</v>
      </c>
      <c r="O146">
        <v>0</v>
      </c>
    </row>
    <row r="147" spans="1:15" x14ac:dyDescent="0.3">
      <c r="A147" s="67" t="s">
        <v>15</v>
      </c>
      <c r="B147" s="67" t="s">
        <v>33</v>
      </c>
      <c r="C147">
        <v>15.244999999999999</v>
      </c>
      <c r="D147">
        <v>0.117932</v>
      </c>
      <c r="E147">
        <v>0.249885</v>
      </c>
      <c r="F147">
        <v>0</v>
      </c>
      <c r="G147">
        <v>1.0321990000000001</v>
      </c>
      <c r="H147">
        <v>4.2820989999999997</v>
      </c>
      <c r="I147">
        <v>2.7083469999999998</v>
      </c>
      <c r="J147">
        <v>9.0018589999999996</v>
      </c>
      <c r="K147">
        <v>15.060898</v>
      </c>
      <c r="L147">
        <v>0</v>
      </c>
      <c r="M147">
        <v>0</v>
      </c>
      <c r="N147">
        <v>0</v>
      </c>
      <c r="O147">
        <v>0</v>
      </c>
    </row>
    <row r="148" spans="1:15" x14ac:dyDescent="0.3">
      <c r="A148" s="67" t="s">
        <v>15</v>
      </c>
      <c r="B148" s="67" t="s">
        <v>34</v>
      </c>
      <c r="C148">
        <v>13.5893</v>
      </c>
      <c r="D148">
        <v>0.55105899999999997</v>
      </c>
      <c r="E148">
        <v>1.1809449999999999</v>
      </c>
      <c r="F148">
        <v>1.12774</v>
      </c>
      <c r="G148">
        <v>4.7414430000000003</v>
      </c>
      <c r="H148">
        <v>0.44793699999999997</v>
      </c>
      <c r="I148">
        <v>0.73919900000000005</v>
      </c>
      <c r="J148">
        <v>0.69567800000000002</v>
      </c>
      <c r="K148">
        <v>0</v>
      </c>
      <c r="L148">
        <v>0</v>
      </c>
      <c r="M148">
        <v>0</v>
      </c>
      <c r="N148">
        <v>0</v>
      </c>
      <c r="O148">
        <v>0</v>
      </c>
    </row>
    <row r="149" spans="1:15" x14ac:dyDescent="0.3">
      <c r="A149" s="67" t="s">
        <v>15</v>
      </c>
      <c r="B149" s="67" t="s">
        <v>35</v>
      </c>
      <c r="C149">
        <v>330.2593</v>
      </c>
      <c r="D149">
        <v>0.33777099999999999</v>
      </c>
      <c r="E149">
        <v>0.35750900000000002</v>
      </c>
      <c r="F149">
        <v>0.51205100000000003</v>
      </c>
      <c r="G149">
        <v>1.3296589999999999</v>
      </c>
      <c r="H149">
        <v>1.1490389999999999</v>
      </c>
      <c r="I149">
        <v>0.22453000000000001</v>
      </c>
      <c r="J149">
        <v>4.4750439999999996</v>
      </c>
      <c r="K149">
        <v>16.182231000000002</v>
      </c>
      <c r="L149">
        <v>23.188583000000001</v>
      </c>
      <c r="M149">
        <v>21.315804</v>
      </c>
      <c r="N149">
        <v>26.346160000000001</v>
      </c>
      <c r="O149">
        <v>15.907949</v>
      </c>
    </row>
    <row r="150" spans="1:15" x14ac:dyDescent="0.3">
      <c r="A150" s="67" t="s">
        <v>15</v>
      </c>
      <c r="B150" s="67" t="s">
        <v>36</v>
      </c>
      <c r="C150">
        <v>667.65880000000004</v>
      </c>
      <c r="D150">
        <v>0.20589299999999999</v>
      </c>
      <c r="E150">
        <v>4.9461999999999999E-2</v>
      </c>
      <c r="F150">
        <v>0.49853700000000001</v>
      </c>
      <c r="G150">
        <v>1.908228</v>
      </c>
      <c r="H150">
        <v>0.190715</v>
      </c>
      <c r="I150">
        <v>3.8692530000000001</v>
      </c>
      <c r="J150">
        <v>3.1268440000000002</v>
      </c>
      <c r="K150">
        <v>5.2202669999999998</v>
      </c>
      <c r="L150">
        <v>12.127440999999999</v>
      </c>
      <c r="M150">
        <v>11.867419999999999</v>
      </c>
      <c r="N150">
        <v>20.033632000000001</v>
      </c>
      <c r="O150">
        <v>17.601459999999999</v>
      </c>
    </row>
    <row r="151" spans="1:15" x14ac:dyDescent="0.3">
      <c r="A151" s="67" t="s">
        <v>15</v>
      </c>
      <c r="B151" s="67" t="s">
        <v>37</v>
      </c>
      <c r="C151">
        <v>17.520399999999999</v>
      </c>
      <c r="D151">
        <v>0.29364899999999999</v>
      </c>
      <c r="E151">
        <v>0.40804200000000002</v>
      </c>
      <c r="F151">
        <v>0.69095300000000004</v>
      </c>
      <c r="G151">
        <v>1.9777439999999999</v>
      </c>
      <c r="H151">
        <v>0.84496000000000004</v>
      </c>
      <c r="I151">
        <v>0.87468199999999996</v>
      </c>
      <c r="J151">
        <v>3.8184399999999998</v>
      </c>
      <c r="K151">
        <v>15.382816</v>
      </c>
      <c r="L151">
        <v>18.223047999999999</v>
      </c>
      <c r="M151">
        <v>0</v>
      </c>
      <c r="N151">
        <v>0</v>
      </c>
      <c r="O151">
        <v>0</v>
      </c>
    </row>
    <row r="152" spans="1:15" x14ac:dyDescent="0.3">
      <c r="A152" s="67" t="s">
        <v>15</v>
      </c>
      <c r="B152" s="67" t="s">
        <v>38</v>
      </c>
      <c r="C152">
        <v>435.01159999999999</v>
      </c>
      <c r="D152">
        <v>0.14796100000000001</v>
      </c>
      <c r="E152">
        <v>0.59592800000000001</v>
      </c>
      <c r="F152">
        <v>0.38572499999999998</v>
      </c>
      <c r="G152">
        <v>1.31271</v>
      </c>
      <c r="H152">
        <v>3.3202929999999999</v>
      </c>
      <c r="I152">
        <v>2.5558839999999998</v>
      </c>
      <c r="J152">
        <v>5.6670780000000001</v>
      </c>
      <c r="K152">
        <v>13.672294000000001</v>
      </c>
      <c r="L152">
        <v>19.297048</v>
      </c>
      <c r="M152">
        <v>14.592053999999999</v>
      </c>
      <c r="N152">
        <v>20.389984999999999</v>
      </c>
      <c r="O152">
        <v>16.216308000000001</v>
      </c>
    </row>
    <row r="153" spans="1:15" x14ac:dyDescent="0.3">
      <c r="A153" s="67" t="s">
        <v>15</v>
      </c>
      <c r="B153" s="67" t="s">
        <v>39</v>
      </c>
      <c r="C153">
        <v>15.436199999999999</v>
      </c>
      <c r="D153">
        <v>0.198488</v>
      </c>
      <c r="E153">
        <v>0.33670499999999998</v>
      </c>
      <c r="F153">
        <v>0.16156999999999999</v>
      </c>
      <c r="G153">
        <v>0.24363599999999999</v>
      </c>
      <c r="H153">
        <v>5.3421050000000001</v>
      </c>
      <c r="I153">
        <v>3.5659890000000001</v>
      </c>
      <c r="J153">
        <v>4.2725809999999997</v>
      </c>
      <c r="K153">
        <v>9.6561559999999993</v>
      </c>
      <c r="L153">
        <v>0</v>
      </c>
      <c r="M153">
        <v>0</v>
      </c>
      <c r="N153">
        <v>0</v>
      </c>
      <c r="O153">
        <v>0</v>
      </c>
    </row>
    <row r="154" spans="1:15" x14ac:dyDescent="0.3">
      <c r="A154" s="67" t="s">
        <v>15</v>
      </c>
      <c r="B154" s="67" t="s">
        <v>40</v>
      </c>
      <c r="C154">
        <v>16.809999999999999</v>
      </c>
      <c r="D154">
        <v>0.53254400000000002</v>
      </c>
      <c r="E154">
        <v>5.9452999999999999E-2</v>
      </c>
      <c r="F154">
        <v>0.119119</v>
      </c>
      <c r="G154">
        <v>1.7533609999999999</v>
      </c>
      <c r="H154">
        <v>3.192142</v>
      </c>
      <c r="I154">
        <v>2.8763770000000002</v>
      </c>
      <c r="J154">
        <v>3.3189920000000002</v>
      </c>
      <c r="K154">
        <v>13.747272000000001</v>
      </c>
      <c r="L154">
        <v>19.986827000000002</v>
      </c>
      <c r="M154">
        <v>0</v>
      </c>
      <c r="N154">
        <v>0</v>
      </c>
      <c r="O154">
        <v>0</v>
      </c>
    </row>
    <row r="155" spans="1:15" x14ac:dyDescent="0.3">
      <c r="A155" s="67" t="s">
        <v>15</v>
      </c>
      <c r="B155" s="67" t="s">
        <v>41</v>
      </c>
      <c r="C155">
        <v>15.987</v>
      </c>
      <c r="D155">
        <v>0.51029899999999995</v>
      </c>
      <c r="E155">
        <v>0.16236800000000001</v>
      </c>
      <c r="F155">
        <v>0.26202500000000001</v>
      </c>
      <c r="G155">
        <v>2.2022390000000001</v>
      </c>
      <c r="H155">
        <v>4.0955849999999998</v>
      </c>
      <c r="I155">
        <v>3.5561600000000002</v>
      </c>
      <c r="J155">
        <v>7.1945819999999996</v>
      </c>
      <c r="K155">
        <v>18.893564999999999</v>
      </c>
      <c r="L155">
        <v>0</v>
      </c>
      <c r="M155">
        <v>0</v>
      </c>
      <c r="N155">
        <v>0</v>
      </c>
      <c r="O155">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C194A-283A-4D6B-A0BF-C1948DF9DBE9}">
  <dimension ref="A1"/>
  <sheetViews>
    <sheetView workbookViewId="0">
      <selection activeCell="A3" sqref="A3"/>
    </sheetView>
  </sheetViews>
  <sheetFormatPr defaultRowHeight="14.4" x14ac:dyDescent="0.3"/>
  <cols>
    <col min="1" max="1" width="54.33203125" bestFit="1" customWidth="1"/>
    <col min="2" max="2" width="14.33203125" bestFit="1" customWidth="1"/>
    <col min="3" max="3" width="16.33203125" bestFit="1" customWidth="1"/>
    <col min="4" max="4" width="17.33203125" bestFit="1" customWidth="1"/>
    <col min="5" max="6" width="15.77734375" bestFit="1" customWidth="1"/>
    <col min="7" max="7" width="16.77734375" bestFit="1" customWidth="1"/>
  </cols>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2618A-C95E-4B5F-AC72-EFEBDB0829A9}">
  <dimension ref="A1:C14"/>
  <sheetViews>
    <sheetView workbookViewId="0">
      <selection activeCell="A3" sqref="A3"/>
    </sheetView>
  </sheetViews>
  <sheetFormatPr defaultRowHeight="14.4" x14ac:dyDescent="0.3"/>
  <cols>
    <col min="1" max="1" width="44.33203125" bestFit="1" customWidth="1"/>
    <col min="2" max="3" width="15.77734375" bestFit="1" customWidth="1"/>
  </cols>
  <sheetData>
    <row r="1" spans="1:3" x14ac:dyDescent="0.3">
      <c r="A1" s="54" t="s">
        <v>0</v>
      </c>
      <c r="B1" t="s">
        <v>182</v>
      </c>
    </row>
    <row r="3" spans="1:3" x14ac:dyDescent="0.3">
      <c r="A3" s="54" t="s">
        <v>166</v>
      </c>
      <c r="B3" t="s">
        <v>169</v>
      </c>
      <c r="C3" t="s">
        <v>170</v>
      </c>
    </row>
    <row r="4" spans="1:3" x14ac:dyDescent="0.3">
      <c r="A4" s="55" t="s">
        <v>138</v>
      </c>
      <c r="B4" s="66">
        <v>28.428474999999999</v>
      </c>
      <c r="C4" s="66">
        <v>0</v>
      </c>
    </row>
    <row r="5" spans="1:3" x14ac:dyDescent="0.3">
      <c r="A5" s="55" t="s">
        <v>126</v>
      </c>
      <c r="B5" s="66">
        <v>27.079858999999999</v>
      </c>
      <c r="C5" s="66">
        <v>0</v>
      </c>
    </row>
    <row r="6" spans="1:3" x14ac:dyDescent="0.3">
      <c r="A6" s="55" t="s">
        <v>156</v>
      </c>
      <c r="B6" s="66">
        <v>27.639212000000001</v>
      </c>
      <c r="C6" s="66">
        <v>0</v>
      </c>
    </row>
    <row r="7" spans="1:3" x14ac:dyDescent="0.3">
      <c r="A7" s="55" t="s">
        <v>152</v>
      </c>
      <c r="B7" s="66">
        <v>28.105792999999998</v>
      </c>
      <c r="C7" s="66">
        <v>22.554874000000002</v>
      </c>
    </row>
    <row r="8" spans="1:3" x14ac:dyDescent="0.3">
      <c r="A8" s="55" t="s">
        <v>125</v>
      </c>
      <c r="B8" s="66">
        <v>29.044687</v>
      </c>
      <c r="C8" s="66">
        <v>25.969234</v>
      </c>
    </row>
    <row r="9" spans="1:3" x14ac:dyDescent="0.3">
      <c r="A9" s="55" t="s">
        <v>171</v>
      </c>
      <c r="B9" s="66">
        <v>26.799876999999999</v>
      </c>
      <c r="C9" s="66">
        <v>26.530083000000001</v>
      </c>
    </row>
    <row r="10" spans="1:3" x14ac:dyDescent="0.3">
      <c r="A10" s="55" t="s">
        <v>121</v>
      </c>
      <c r="B10" s="66">
        <v>27.994109000000002</v>
      </c>
      <c r="C10" s="66">
        <v>27.231686</v>
      </c>
    </row>
    <row r="11" spans="1:3" x14ac:dyDescent="0.3">
      <c r="A11" s="55" t="s">
        <v>151</v>
      </c>
      <c r="B11" s="66">
        <v>26.992428</v>
      </c>
      <c r="C11" s="66">
        <v>27.783429000000002</v>
      </c>
    </row>
    <row r="12" spans="1:3" x14ac:dyDescent="0.3">
      <c r="A12" s="55" t="s">
        <v>142</v>
      </c>
      <c r="B12" s="66">
        <v>32.144193000000001</v>
      </c>
      <c r="C12" s="66">
        <v>27.817063999999998</v>
      </c>
    </row>
    <row r="13" spans="1:3" x14ac:dyDescent="0.3">
      <c r="A13" s="55" t="s">
        <v>132</v>
      </c>
      <c r="B13" s="66">
        <v>27.202817</v>
      </c>
      <c r="C13" s="66">
        <v>29.452368</v>
      </c>
    </row>
    <row r="14" spans="1:3" x14ac:dyDescent="0.3">
      <c r="A14" s="55" t="s">
        <v>167</v>
      </c>
      <c r="B14" s="67">
        <v>28.143145000000004</v>
      </c>
      <c r="C14" s="67">
        <v>18.733873800000005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DC157-AA6B-4EFE-B431-AE118A42AD1A}">
  <dimension ref="A3:D8"/>
  <sheetViews>
    <sheetView workbookViewId="0">
      <selection activeCell="P11" sqref="P11"/>
    </sheetView>
  </sheetViews>
  <sheetFormatPr defaultRowHeight="14.4" x14ac:dyDescent="0.3"/>
  <cols>
    <col min="1" max="1" width="12.44140625" bestFit="1" customWidth="1"/>
    <col min="2" max="2" width="14.88671875" bestFit="1" customWidth="1"/>
    <col min="3" max="4" width="15.77734375" bestFit="1" customWidth="1"/>
  </cols>
  <sheetData>
    <row r="3" spans="1:4" x14ac:dyDescent="0.3">
      <c r="A3" s="54" t="s">
        <v>166</v>
      </c>
      <c r="B3" t="s">
        <v>168</v>
      </c>
      <c r="C3" t="s">
        <v>169</v>
      </c>
      <c r="D3" t="s">
        <v>170</v>
      </c>
    </row>
    <row r="4" spans="1:4" x14ac:dyDescent="0.3">
      <c r="A4" s="55" t="s">
        <v>81</v>
      </c>
      <c r="B4" s="66">
        <v>5.7389280256410258</v>
      </c>
      <c r="C4" s="66">
        <v>14.857874076923077</v>
      </c>
      <c r="D4" s="66">
        <v>10.853142051282051</v>
      </c>
    </row>
    <row r="5" spans="1:4" x14ac:dyDescent="0.3">
      <c r="A5" s="55" t="s">
        <v>114</v>
      </c>
      <c r="B5" s="66">
        <v>7.6876528437499996</v>
      </c>
      <c r="C5" s="66">
        <v>15.531054687500001</v>
      </c>
      <c r="D5" s="66">
        <v>13.444649375000001</v>
      </c>
    </row>
    <row r="6" spans="1:4" x14ac:dyDescent="0.3">
      <c r="A6" s="55" t="s">
        <v>139</v>
      </c>
      <c r="B6" s="66">
        <v>4.0848306896551723</v>
      </c>
      <c r="C6" s="66">
        <v>23.475559034482757</v>
      </c>
      <c r="D6" s="66">
        <v>19.158971758620691</v>
      </c>
    </row>
    <row r="7" spans="1:4" x14ac:dyDescent="0.3">
      <c r="A7" s="55" t="s">
        <v>15</v>
      </c>
      <c r="B7" s="66">
        <v>4.3619934615384617</v>
      </c>
      <c r="C7" s="66">
        <v>12.713895846153845</v>
      </c>
      <c r="D7" s="66">
        <v>6.5328539230769236</v>
      </c>
    </row>
    <row r="8" spans="1:4" x14ac:dyDescent="0.3">
      <c r="A8" s="55" t="s">
        <v>165</v>
      </c>
      <c r="B8" s="66">
        <v>4.0528091785714286</v>
      </c>
      <c r="C8" s="66">
        <v>18.411742999999998</v>
      </c>
      <c r="D8" s="66">
        <v>19.500749142857138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E7EC8-21E4-41C6-81F1-30D76594B85C}">
  <dimension ref="A12:G36"/>
  <sheetViews>
    <sheetView showGridLines="0" tabSelected="1" zoomScale="85" zoomScaleNormal="85" workbookViewId="0">
      <selection activeCell="H19" sqref="H19"/>
    </sheetView>
  </sheetViews>
  <sheetFormatPr defaultRowHeight="14.4" x14ac:dyDescent="0.3"/>
  <cols>
    <col min="1" max="1" width="47.33203125" bestFit="1" customWidth="1"/>
    <col min="2" max="2" width="15" bestFit="1" customWidth="1"/>
    <col min="3" max="3" width="17.109375" bestFit="1" customWidth="1"/>
    <col min="4" max="4" width="18.109375" bestFit="1" customWidth="1"/>
    <col min="5" max="6" width="16.44140625" bestFit="1" customWidth="1"/>
    <col min="7" max="7" width="17.44140625" bestFit="1" customWidth="1"/>
    <col min="8" max="8" width="51.88671875" bestFit="1" customWidth="1"/>
    <col min="9" max="10" width="15.77734375" bestFit="1" customWidth="1"/>
    <col min="11" max="11" width="16.77734375" bestFit="1" customWidth="1"/>
  </cols>
  <sheetData>
    <row r="12" hidden="1" x14ac:dyDescent="0.3"/>
    <row r="18" spans="1:7" hidden="1" x14ac:dyDescent="0.3"/>
    <row r="24" spans="1:7" hidden="1" x14ac:dyDescent="0.3">
      <c r="A24" s="54" t="s">
        <v>0</v>
      </c>
      <c r="B24" t="s">
        <v>182</v>
      </c>
    </row>
    <row r="26" spans="1:7" x14ac:dyDescent="0.3">
      <c r="A26" s="54" t="s">
        <v>166</v>
      </c>
      <c r="B26" t="s">
        <v>183</v>
      </c>
      <c r="C26" t="s">
        <v>180</v>
      </c>
      <c r="D26" t="s">
        <v>181</v>
      </c>
      <c r="E26" t="s">
        <v>169</v>
      </c>
      <c r="F26" t="s">
        <v>170</v>
      </c>
      <c r="G26" t="s">
        <v>179</v>
      </c>
    </row>
    <row r="27" spans="1:7" x14ac:dyDescent="0.3">
      <c r="A27" s="55" t="s">
        <v>142</v>
      </c>
      <c r="B27" s="66">
        <v>0.23508699999999999</v>
      </c>
      <c r="C27" s="66">
        <v>1.7157519999999999</v>
      </c>
      <c r="D27" s="66">
        <v>9.8086999999999994E-2</v>
      </c>
      <c r="E27" s="66">
        <v>32.144193000000001</v>
      </c>
      <c r="F27" s="66">
        <v>27.817063999999998</v>
      </c>
      <c r="G27" s="66">
        <v>0</v>
      </c>
    </row>
    <row r="28" spans="1:7" x14ac:dyDescent="0.3">
      <c r="A28" s="55" t="s">
        <v>121</v>
      </c>
      <c r="B28" s="66">
        <v>0.32234600000000002</v>
      </c>
      <c r="C28" s="66">
        <v>0.60462099999999996</v>
      </c>
      <c r="D28" s="66">
        <v>2.0230199999999998</v>
      </c>
      <c r="E28" s="66">
        <v>27.994109000000002</v>
      </c>
      <c r="F28" s="66">
        <v>27.231686</v>
      </c>
      <c r="G28" s="66">
        <v>19.783761999999999</v>
      </c>
    </row>
    <row r="29" spans="1:7" hidden="1" x14ac:dyDescent="0.3">
      <c r="A29" s="55" t="s">
        <v>171</v>
      </c>
      <c r="B29" s="66">
        <v>0.32705899999999999</v>
      </c>
      <c r="C29" s="66">
        <v>1.540257</v>
      </c>
      <c r="D29" s="66">
        <v>4.1832099999999999</v>
      </c>
      <c r="E29" s="66">
        <v>26.799876999999999</v>
      </c>
      <c r="F29" s="66">
        <v>26.530083000000001</v>
      </c>
      <c r="G29" s="66">
        <v>19.132438</v>
      </c>
    </row>
    <row r="30" spans="1:7" x14ac:dyDescent="0.3">
      <c r="A30" s="55" t="s">
        <v>125</v>
      </c>
      <c r="B30" s="66">
        <v>0.43646499999999999</v>
      </c>
      <c r="C30" s="66">
        <v>2.811086</v>
      </c>
      <c r="D30" s="66">
        <v>2.568025</v>
      </c>
      <c r="E30" s="66">
        <v>29.044687</v>
      </c>
      <c r="F30" s="66">
        <v>25.969234</v>
      </c>
      <c r="G30" s="66">
        <v>19.958912000000002</v>
      </c>
    </row>
    <row r="31" spans="1:7" x14ac:dyDescent="0.3">
      <c r="A31" s="55" t="s">
        <v>151</v>
      </c>
      <c r="B31" s="66">
        <v>0.21413299999999999</v>
      </c>
      <c r="C31" s="66">
        <v>2.2240869999999999</v>
      </c>
      <c r="D31" s="66">
        <v>0.21413299999999999</v>
      </c>
      <c r="E31" s="66">
        <v>26.992428</v>
      </c>
      <c r="F31" s="66">
        <v>27.783429000000002</v>
      </c>
      <c r="G31" s="66">
        <v>0</v>
      </c>
    </row>
    <row r="32" spans="1:7" x14ac:dyDescent="0.3">
      <c r="A32" s="55" t="s">
        <v>126</v>
      </c>
      <c r="B32" s="66">
        <v>0.115104</v>
      </c>
      <c r="C32" s="66">
        <v>1.213838</v>
      </c>
      <c r="D32" s="66">
        <v>4.4042640000000004</v>
      </c>
      <c r="E32" s="66">
        <v>27.079858999999999</v>
      </c>
      <c r="F32" s="66">
        <v>0</v>
      </c>
      <c r="G32" s="66">
        <v>0</v>
      </c>
    </row>
    <row r="33" spans="1:7" x14ac:dyDescent="0.3">
      <c r="A33" s="55" t="s">
        <v>152</v>
      </c>
      <c r="B33" s="66">
        <v>3.0627000000000001E-2</v>
      </c>
      <c r="C33" s="66">
        <v>2.028203</v>
      </c>
      <c r="D33" s="66">
        <v>1.40621</v>
      </c>
      <c r="E33" s="66">
        <v>28.105792999999998</v>
      </c>
      <c r="F33" s="66">
        <v>22.554874000000002</v>
      </c>
      <c r="G33" s="66">
        <v>0</v>
      </c>
    </row>
    <row r="34" spans="1:7" x14ac:dyDescent="0.3">
      <c r="A34" s="55" t="s">
        <v>156</v>
      </c>
      <c r="B34" s="66">
        <v>0.28545599999999999</v>
      </c>
      <c r="C34" s="66">
        <v>1.3092299999999999</v>
      </c>
      <c r="D34" s="66">
        <v>1.402058</v>
      </c>
      <c r="E34" s="66">
        <v>27.639212000000001</v>
      </c>
      <c r="F34" s="66">
        <v>0</v>
      </c>
      <c r="G34" s="66">
        <v>0</v>
      </c>
    </row>
    <row r="35" spans="1:7" x14ac:dyDescent="0.3">
      <c r="A35" s="55" t="s">
        <v>132</v>
      </c>
      <c r="B35" s="66">
        <v>0.79607300000000003</v>
      </c>
      <c r="C35" s="66">
        <v>4.2167919999999999</v>
      </c>
      <c r="D35" s="66">
        <v>3.672409</v>
      </c>
      <c r="E35" s="66">
        <v>27.202817</v>
      </c>
      <c r="F35" s="66">
        <v>29.452368</v>
      </c>
      <c r="G35" s="66">
        <v>18.67887</v>
      </c>
    </row>
    <row r="36" spans="1:7" x14ac:dyDescent="0.3">
      <c r="A36" s="55" t="s">
        <v>138</v>
      </c>
      <c r="B36" s="66">
        <v>0.59391899999999997</v>
      </c>
      <c r="C36" s="66">
        <v>2.3069440000000001</v>
      </c>
      <c r="D36" s="66">
        <v>5.2135300000000004</v>
      </c>
      <c r="E36" s="66">
        <v>28.428474999999999</v>
      </c>
      <c r="F36" s="66">
        <v>0</v>
      </c>
      <c r="G36" s="66">
        <v>0</v>
      </c>
    </row>
  </sheetData>
  <conditionalFormatting pivot="1" sqref="B27:G36">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358448-C7FB-4E5D-8B06-76E6EC50521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Multicap</vt:lpstr>
      <vt:lpstr>Flexicap</vt:lpstr>
      <vt:lpstr>Largecap</vt:lpstr>
      <vt:lpstr>Midcap</vt:lpstr>
      <vt:lpstr>Smallcap</vt:lpstr>
      <vt:lpstr>MasterData</vt:lpstr>
      <vt:lpstr>HeatMap</vt:lpstr>
      <vt:lpstr>Top 10 Funds</vt:lpstr>
      <vt:lpstr>Average Returns by Category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vedavyas</dc:creator>
  <cp:lastModifiedBy>Krishna vedavyas</cp:lastModifiedBy>
  <dcterms:created xsi:type="dcterms:W3CDTF">2025-12-29T15:13:51Z</dcterms:created>
  <dcterms:modified xsi:type="dcterms:W3CDTF">2026-01-04T11:39:05Z</dcterms:modified>
</cp:coreProperties>
</file>